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83854e6706cf50b/Seplad/"/>
    </mc:Choice>
  </mc:AlternateContent>
  <xr:revisionPtr revIDLastSave="186" documentId="11_422837189A90368121DA598BD8245F1DBCAEB3C3" xr6:coauthVersionLast="47" xr6:coauthVersionMax="47" xr10:uidLastSave="{2AEF0A85-DAA4-4BCF-A1B8-677A55AE2965}"/>
  <bookViews>
    <workbookView xWindow="-120" yWindow="-120" windowWidth="29040" windowHeight="15720" xr2:uid="{00000000-000D-0000-FFFF-FFFF00000000}"/>
  </bookViews>
  <sheets>
    <sheet name="lista" sheetId="1" r:id="rId1"/>
    <sheet name="parcelas" sheetId="6" r:id="rId2"/>
    <sheet name="plano_intern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4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ID#AAABvGY77Vg
Contratos Convênios - SEDUC    (2026-01-29 18:24:08)
TERMO DE FOMENTO</t>
        </r>
      </text>
    </comment>
  </commentList>
</comments>
</file>

<file path=xl/sharedStrings.xml><?xml version="1.0" encoding="utf-8"?>
<sst xmlns="http://schemas.openxmlformats.org/spreadsheetml/2006/main" count="2512" uniqueCount="643">
  <si>
    <t>SEDUC</t>
  </si>
  <si>
    <t>BREJO GRANDE DO ARAGUAIA</t>
  </si>
  <si>
    <t>PREFEITURA MUNICIPAL DE BREJO GRANDE DO ARAGUAIA</t>
  </si>
  <si>
    <t>211/2018</t>
  </si>
  <si>
    <t>318000BRGBI</t>
  </si>
  <si>
    <t>REFORMA DA CONSTRUÇÃO DE QUADRA POLIESPORTIVA E CONSTRUÇÃO DE AUDITÓRIO DA EM. BREJO GRANDE</t>
  </si>
  <si>
    <t>-</t>
  </si>
  <si>
    <t>AUGUSTO CORRÊA</t>
  </si>
  <si>
    <t>PREFEITURA MUNICIPAL DE AUGUSTO CORREA</t>
  </si>
  <si>
    <t>228/2018</t>
  </si>
  <si>
    <t>318000AAVAC</t>
  </si>
  <si>
    <t>RECONSTRUÇÃO DA EEEFM. "ANDRÉ ALVES",</t>
  </si>
  <si>
    <t>RONDON DO PARÁ</t>
  </si>
  <si>
    <t>PREFEITURA MUNICIPAL DE RONDON DO PARÁ</t>
  </si>
  <si>
    <t>235/2018</t>
  </si>
  <si>
    <t>318000DBTRP</t>
  </si>
  <si>
    <t>A REFONNA E AMPLIAÇAO DA REEM. "DIONFSIO BENTES DE CARVAIHO".</t>
  </si>
  <si>
    <t>REDENÇÃO</t>
  </si>
  <si>
    <t>PREFEITURA MUNICIPAL DE REDENÇÃO</t>
  </si>
  <si>
    <t>048/2021</t>
  </si>
  <si>
    <t>101ROFIMERD</t>
  </si>
  <si>
    <t>REFORMA DA ESCOLA ESTADUAL DE ENSINO FUNDAMENTAL E MÉDIO RONAN FIDELIS DE MELO, LOCALIZADA NO MUNICÍPIO DE REDENÇÃO/PA</t>
  </si>
  <si>
    <t>PREFEITURA MUNICIPAL DE SANTA BÁRBARA DO PARÁ</t>
  </si>
  <si>
    <t>003/2022</t>
  </si>
  <si>
    <t>101GENIPASP</t>
  </si>
  <si>
    <t>REFORMA E AMPLIAÇÃO DA EEEFM. GENIPAÚBA, LOCALIZADA NO MUNICÍPIO DE SANTA BÁRBARA DO PARÁ</t>
  </si>
  <si>
    <t>SANTARÉM NOVO</t>
  </si>
  <si>
    <t>PREFEITURA MUNICIPAL DE SANTARÉM NOVO</t>
  </si>
  <si>
    <t>014/2022</t>
  </si>
  <si>
    <t>101ROCALOSN</t>
  </si>
  <si>
    <t>CONSTRUÇÃO DE QUADRA POLIESPORTIVA DA E.E.E.M. ROSA CARRERA DE LOUREIRO, NO MUNICÍPIO DE SANTARÉM NOVO.</t>
  </si>
  <si>
    <t>ITAITUBA</t>
  </si>
  <si>
    <t>PREFEITURA MUNICIPAL DE ITAITUBA</t>
  </si>
  <si>
    <t>016/2022</t>
  </si>
  <si>
    <t>101MORALMIT</t>
  </si>
  <si>
    <t>CONSTRUÇÃO DE ESCOLA DE ENSINO MÉDIO LOCALIZADA NO DISTRITO DE MORAES DE ALMEIDA, NO MUNICÍPIO DE ITAITUBA/PA</t>
  </si>
  <si>
    <t>IGARAPÉ AÇU</t>
  </si>
  <si>
    <t>PREFEITURA MUNICIPAL DE IGARAPÉ-AÇÚ</t>
  </si>
  <si>
    <t>018/2022</t>
  </si>
  <si>
    <t>101ANTALVIA</t>
  </si>
  <si>
    <t>REFORMA E ADEQUAÇÃO DA EEEF. ANTÔNIO ALVES RAMOS, LOCALIZADA NA ZONA RURAL DE IGARAPÉ AÇU/PA</t>
  </si>
  <si>
    <t>019/2022</t>
  </si>
  <si>
    <t>101EMCURIIA</t>
  </si>
  <si>
    <t>REFORMA E ADEQUAÇÃO DA EEEF. DO CURI, LOCALIZADA NA ZONA RURAL DE IGARAPÉ AÇU/PA</t>
  </si>
  <si>
    <t>020/2022</t>
  </si>
  <si>
    <t>101JOBAMOIA</t>
  </si>
  <si>
    <t>REFORMA, ADEQUAÇÃO E AMPLIAÇÃO DA ESCOLA MUNICIPAL DE ENSINO FUNDAMENTAL JOÃO BATISTA DE MOURA CARVALHO, LOCALIZADA NO MUNICÍPIO DE IGARAPÉ-AÇÚ/PA, CONFORME DETALHADO NO PLANO DE TRABALHO.</t>
  </si>
  <si>
    <t>BREU BRANCO</t>
  </si>
  <si>
    <t>PREFEITURA MUNICIPAL DE BREU BRANCO</t>
  </si>
  <si>
    <t>024/2022</t>
  </si>
  <si>
    <t>101ESCNOVBC</t>
  </si>
  <si>
    <t>CONSTRUÇÃO DE ESCOLA ESTADUAL RURAL, LOCALIZADA NO MUNICÍPIO DE BREU BRANCO/PA</t>
  </si>
  <si>
    <t>NOVO PROGRESSO</t>
  </si>
  <si>
    <t>PREFEITURA MUNICIPAL DE NOVO PROGRESSO</t>
  </si>
  <si>
    <t>027/2022</t>
  </si>
  <si>
    <t>101WLADLYNG</t>
  </si>
  <si>
    <t>AMPLIAÇÃO E REFORMA DA ESCOLA ESTADUAL DE ENSINO FUNDAMENTAL E MÉDIO WALDEMAR LINDERMAYER</t>
  </si>
  <si>
    <t>SÃO FÉLIX DO XINGU</t>
  </si>
  <si>
    <t>PREFEITURA MUNICIPAL DE SÃO FÉLIX DO XINGU</t>
  </si>
  <si>
    <t>028/2022</t>
  </si>
  <si>
    <t>101ESCNOVSX</t>
  </si>
  <si>
    <t>CONSTRUÇÃO DE ESCOLA PADRÃO DE 12 SALAS NO DISTRITO DE TABOCA, NA ZONA RURAL DO MUNICÍPIO DE SÃO FÉLIX DO XINGÚ</t>
  </si>
  <si>
    <t>CAMETÁ</t>
  </si>
  <si>
    <t>PREFEITURA MUNICIPAL DE CAMETÁ</t>
  </si>
  <si>
    <t>030/2022</t>
  </si>
  <si>
    <t>101OSVMUNCT</t>
  </si>
  <si>
    <t>REFORMA DA ESCOLA ESTADUAL PROFESSORA OSVALDINA MUNIZ, LOCALIZADA NA ZONA URBANA, NO MUNIVÍPIO DE CAMETÁ/PA</t>
  </si>
  <si>
    <t>PACAJÁ</t>
  </si>
  <si>
    <t>PREFEITURA MUNICIPAL DE PACAJÁ</t>
  </si>
  <si>
    <t>033/2022</t>
  </si>
  <si>
    <t>101ALULOCPJ</t>
  </si>
  <si>
    <t>REFORMA GERAL DA EEEFM ALUÍSIO LOCH, NO MUNICÍPIO DE PACAJÁ/PA</t>
  </si>
  <si>
    <t>CONCEIÇÃO DO ARAGUAIA</t>
  </si>
  <si>
    <t>PREFEITURA MUNICIPAL DE CONCEIÇÃO DO ARAGUAIA</t>
  </si>
  <si>
    <t>037/2022</t>
  </si>
  <si>
    <t>101FREGILCG</t>
  </si>
  <si>
    <t>ADEQUAÇÃO DO PREDIO DA ANTIGA EEEF. FREI GIL DE VILA NOVA, NO MUNICÍPIO DE CONCEIÇÃO DO ARAGUAIA</t>
  </si>
  <si>
    <t>DOM ELISEU</t>
  </si>
  <si>
    <t>PREFEITURA MUNICIPAL</t>
  </si>
  <si>
    <t>039/2022</t>
  </si>
  <si>
    <t>101ESCNOVDE</t>
  </si>
  <si>
    <t>CONSTRUÇÃO DE ESCOLA NOVA COM 08 SALAS DE AULA, NO MUNICÍPIO DE DOM ELISEU/PA</t>
  </si>
  <si>
    <t>PORTO DE MOZ</t>
  </si>
  <si>
    <t>PREFEITURA MUNICIPAL DE PORTO DE MOZ</t>
  </si>
  <si>
    <t>040/2022</t>
  </si>
  <si>
    <t>101JOSALFPZ</t>
  </si>
  <si>
    <t>AMPLIAÇÃO DA QUADRA POLIESPORTIVA E REFORMA DA ESCOLA JOSÉ ALFREDO HAGE, NO MUNICÍPIO DE PORTO DE MOZ/PA</t>
  </si>
  <si>
    <t>OURILÂNDIA DO NORTE</t>
  </si>
  <si>
    <t>PREFEITURA MUNICIPAL DE OURILÂNDIA DO NORTE</t>
  </si>
  <si>
    <t>042/2022</t>
  </si>
  <si>
    <t>101ROMVELON</t>
  </si>
  <si>
    <t>REFORMA E ADEQUAÇÃO DA EEEM. DR. ROMILDO VELOSO E SILVA, NO MUNICÍPIO DE OURILÂNDIA DO NORTE/PA</t>
  </si>
  <si>
    <t>CURUÇÁ</t>
  </si>
  <si>
    <t>PREFEITURA MUNICIPAL DE CURUÇÁ</t>
  </si>
  <si>
    <t>043/2022</t>
  </si>
  <si>
    <t>101JUPMAICX</t>
  </si>
  <si>
    <t>REFORMA E AMPLIAÇÃO DA ESCOLA ESTADUAL JÚPITER MAIA, NO MUNICÍPIO DE CURUÇÁ/PA</t>
  </si>
  <si>
    <t>044/2022</t>
  </si>
  <si>
    <t>101ABOVCPCX</t>
  </si>
  <si>
    <t>REFORMA E AMPLIAÇÃO DA EEMEIF ABEL OVÍDIO DE CAMPOS, NO MUNICÍPIO DE CURUÇÁ/PA</t>
  </si>
  <si>
    <t>IPIXUNA DO PARÁ</t>
  </si>
  <si>
    <t>PREFEITURA MUNICIPAL DE IPIXUNA DO PARÁ</t>
  </si>
  <si>
    <t>045/2022</t>
  </si>
  <si>
    <t>101ESCNOVIP</t>
  </si>
  <si>
    <t>CONSTRUÇÃO DE ESCOLA NOVA COM 12 SALAS DE AULA, NO MUNICÍPIO DE IPIXUNA DO PARÁ/PA</t>
  </si>
  <si>
    <t>TAILÂNDIA</t>
  </si>
  <si>
    <t>PREFEITURA MUNICIPAL DE TAILÂNDIA</t>
  </si>
  <si>
    <t>046/2022</t>
  </si>
  <si>
    <t>101ERIJASTD</t>
  </si>
  <si>
    <t>REFORMA, ADEQUAÇÃO E AMPLIAÇÃO DA EEEM. ERIBERTO JASPER, NO MUNICÍPÍO DE TAILÂNDIA/PA</t>
  </si>
  <si>
    <t>NOVO REPARTIMENTO</t>
  </si>
  <si>
    <t>PREFEITURA MUNICIPAL DE NOVO REPARTIMENTO</t>
  </si>
  <si>
    <t>048/2022</t>
  </si>
  <si>
    <t>101PAPPAUNR</t>
  </si>
  <si>
    <t>REFORMA E AMPLIAÇÃO DA EEEM PAPA PAULO VI, NO MUNICÍPIO DE NOVO REPARTIMENTO/PA</t>
  </si>
  <si>
    <t>MOJU</t>
  </si>
  <si>
    <t>PREFEITURA MUNICIPAL DE MOJU</t>
  </si>
  <si>
    <t>051/2022</t>
  </si>
  <si>
    <t>101ERNMAIMO</t>
  </si>
  <si>
    <t>REFORMA DA ESCOLA ESTADUAL DE ENSINO MÉDIO ERNESTINA PEREIRA MAIA, NO MUNICÍPIO DE MOJU/PA</t>
  </si>
  <si>
    <t>SANTA MARIA DO PARÁ</t>
  </si>
  <si>
    <t>PREFEITURA MUNICIPAL DE SANTA MARIA DO PARÁ</t>
  </si>
  <si>
    <t>053/2022</t>
  </si>
  <si>
    <t>101MAGBARSM</t>
  </si>
  <si>
    <t>REFORMA DA EEEF. MAGALHÃES BARATA, DO MUNICÍPIO DE SANTA MARIA DO PARÁ/PA</t>
  </si>
  <si>
    <t>SÃO GERALDO DO ARAGUAIA</t>
  </si>
  <si>
    <t>PREFEITURA MUNICIPAL DE SÃO GERALDO DO ARAGUAIA</t>
  </si>
  <si>
    <t>054/2022</t>
  </si>
  <si>
    <t>101MACDANSU</t>
  </si>
  <si>
    <t>REFORMA E AMPLIAÇÃO DA ESCOLA ESTADUAL DO ENSINO MÉDIO MACÁRIO DANTAS, DO MUNICÍPIO DE SÃO GERALDO DO ARAGUAIA/PA</t>
  </si>
  <si>
    <t>TRACUATEUA</t>
  </si>
  <si>
    <t>PREFEITURA MUNICIPAL DE TRACUATEUA</t>
  </si>
  <si>
    <t>055/2022</t>
  </si>
  <si>
    <t>101PINJNRTR</t>
  </si>
  <si>
    <t>CONSTRUÇÃO DO NOVO PRÉDIO DA EEEM. CORONEL PINHEIRO JÚNIOR, NO MUNICÍPIO DE TRACUATEUA/PA</t>
  </si>
  <si>
    <t>TERRA ALTA</t>
  </si>
  <si>
    <t>PREFEITURA MUNICIPAL DE TERRA ALTA</t>
  </si>
  <si>
    <t>056/2022</t>
  </si>
  <si>
    <t>101AURAPITT</t>
  </si>
  <si>
    <t>REFORMA E AMPLIAÇÃO DA EEEFM. ALGUSTO RAMOS PINHEIRO, NO MUNICÍPIO DE TERRA ALTA/PA</t>
  </si>
  <si>
    <t>057/2022</t>
  </si>
  <si>
    <t>101FCOASSTD</t>
  </si>
  <si>
    <t>REFORMA E ADEQUAÇÃO DA EEEM SÃO FRANCISCO DE ASSIS, NO MUNICÍPIO DE TAILÂNDIA</t>
  </si>
  <si>
    <t>JACAREACANGA</t>
  </si>
  <si>
    <t>PREFEITURA MUNICIPAL DE JACAREACANGA</t>
  </si>
  <si>
    <t>058/2022</t>
  </si>
  <si>
    <t>101BRIGVEJG</t>
  </si>
  <si>
    <t>REFORMA E AMPLIAÇÃO DA EEEM. BRIGADEIRO HAROLDO VELOSO, NO MUNICÍPIO DE JACAREACANGA/PA</t>
  </si>
  <si>
    <t>VITÓRIA DO XINGU</t>
  </si>
  <si>
    <t>PREFEITURA MUNICIPAL DE VITÓRIA DO XINGU</t>
  </si>
  <si>
    <t>059/2022</t>
  </si>
  <si>
    <t>101PADEURVX</t>
  </si>
  <si>
    <t>REFORMA DA ESCOLA PADRE EURICO, NO MUNICÍPIO DE VITÓRIA DO XINGU/PA</t>
  </si>
  <si>
    <t>SÃO JOÃO DE PIRABAS</t>
  </si>
  <si>
    <t>PREFEITURA MUNICIPAL DE SÃO JOÃO DE PIRABAS</t>
  </si>
  <si>
    <t>060/2022</t>
  </si>
  <si>
    <t>101FCONUNSS</t>
  </si>
  <si>
    <t>REFORMA E AMPLIAÇÃO DA EEEM. PROFº. FRANCISCO DA SILVA NUNES, NO MUNICÍPIO DE SÃO JOÃO DE PIRABAS/PA</t>
  </si>
  <si>
    <t>BAIÃO</t>
  </si>
  <si>
    <t>PREFEITURA MUNICIPAL DE BAIÃO</t>
  </si>
  <si>
    <t>061/2022</t>
  </si>
  <si>
    <t>101FCORAMBA</t>
  </si>
  <si>
    <t>REFORMA E MANUTENÇÃO GERAL DA EEEM. FRANCISCA NOGUEIRA DA COSTA RAMOS, NO MUNICÍPIO DE BAIÃO/PA</t>
  </si>
  <si>
    <t>062/2022</t>
  </si>
  <si>
    <t>101ANDALVAC</t>
  </si>
  <si>
    <t>CONSTRUÇÃO DE QUADRA COBERTA COM VESTIÁRIO NA EEEM. ANDRÉ ALVES, NA VILA DE NOVA OLINDA, NO MUNICÍPIO DE AUGUSTO CORRÊA/PA</t>
  </si>
  <si>
    <t>QUATIPURU</t>
  </si>
  <si>
    <t>PREFEITURA MUNICIPAL DE QUATIPURU</t>
  </si>
  <si>
    <t>011/2023</t>
  </si>
  <si>
    <t>101CRECHEQT</t>
  </si>
  <si>
    <t>CONSTRUÇÃO DE CRECHE PADRÃO SEDUC, LOCALIZADA NO BAIRRO PAU D’ARCO, RUA DAS ACÁCIAS, 190, SANTA BÁRBARA DO PARÁ CONFORME DETALHADO NO PLANO DE TRABALHO E RELATÓRIO DE ANÁLISE DOCUMENTAL E TÉCNICA.</t>
  </si>
  <si>
    <t>012/2023</t>
  </si>
  <si>
    <t>101CRECHEMO</t>
  </si>
  <si>
    <t>CONSTRUÇÃO DE CRECHE PADRÃO SEDUC, LOCALIZADA À ROD DOS QUILOMBOLAS, S/N, MOJU/PA, CONFORME DETALHADO NO PLANO DE TRABALHO DE ANÁLISE DOCUMENTAL E TÉCNICA.</t>
  </si>
  <si>
    <t>VISEU</t>
  </si>
  <si>
    <t>PREFEITURA MUNICIPAL DE VISEU</t>
  </si>
  <si>
    <t>013/2023</t>
  </si>
  <si>
    <t>101CRECHEVS</t>
  </si>
  <si>
    <t>CONSTRUÇÃO DE CRECHE PADRÃO SEDUC, LOCALIZADA À RUA DO CASULO, S/N, ZONA 23M, VISEU/PA., CONFORME DETALHADO NO PLANO DE TRABALHO E MEMORIAL DESCRITIVO DO TERRENO</t>
  </si>
  <si>
    <t>ACARÁ</t>
  </si>
  <si>
    <t>PREFEITURA MUNICIPAL DE ACARÁ</t>
  </si>
  <si>
    <t>014/2023</t>
  </si>
  <si>
    <t>101CRECHEAR</t>
  </si>
  <si>
    <t>CONSTRUÇÃO DE CRECHE PADRÃO SEDUC, LOCALIZADA À ROD. ALÇA VIARIA, KM 32, VILA NINIVE, ACARÁ/PA.</t>
  </si>
  <si>
    <t>PIÇARRA</t>
  </si>
  <si>
    <t>PREFEITURA MUNICIPAL DE PIÇARRA</t>
  </si>
  <si>
    <t>015/2023</t>
  </si>
  <si>
    <t>101CRECHEPR</t>
  </si>
  <si>
    <t>CONSTRUÇÃO DE CRECHE PADRÃO SEDUC, LOCALIZADA À AV. ARAGUAIA, S/N, PIÇARRA/PA, CONFORME DETALHADO NO PLANO DE TRABALHO E MEMORIAL DESCRITIVO DO TERRENO</t>
  </si>
  <si>
    <t>ALMEIRIM</t>
  </si>
  <si>
    <t>PREFEITURA MUNICIPAL DE ALMEIRIM</t>
  </si>
  <si>
    <t>016/2023</t>
  </si>
  <si>
    <t>101CRECHEAM</t>
  </si>
  <si>
    <t>CONSTRUÇÃO DE CRECHE PADRÃO SEDUC, LOCALIZADA À ROD ALMEIRIM PARNAICA, S/N, MATINHA, ALMEIRIM/PA, CONFORME DETALHADO NO PLANO DE TRABALHO E MEMORIAL DESCRITIVO DO TERRENO</t>
  </si>
  <si>
    <t>017/2023</t>
  </si>
  <si>
    <t>101CRECHESM</t>
  </si>
  <si>
    <t>CONSTRUÇÃO DE CRECHE PADRÃO SEDUC, LOCALIZADA Á RUA PEDRO VIANA, S/N, SANTA MARIA/PA</t>
  </si>
  <si>
    <t>SÃO MIGUEL DO GUAMÁ</t>
  </si>
  <si>
    <t>PREFEITURA MUNICIPAL DE SÃO MIGUEL DO GUAMÁ</t>
  </si>
  <si>
    <t>018/2023</t>
  </si>
  <si>
    <t>101CRECHESE</t>
  </si>
  <si>
    <t>CONSTRUÇÃO DE CRECHE PADRÃO SEDUC, LOCALIZADA NO RUA WITMARSUM, EM PARTE DO LOTE 160, N° 3.191, SETOR 04, QUADRA 130, BAIRRO PADRE ÂNGELO MARIA DE BERNARD, SÃO MIGUEL DO GUAMÁ/PA</t>
  </si>
  <si>
    <t>PARAGOMINAS</t>
  </si>
  <si>
    <t>PREFEITURA MUNICIPAL DE PARAGOMINAS</t>
  </si>
  <si>
    <t>019/2023</t>
  </si>
  <si>
    <t>101CRECHEPG</t>
  </si>
  <si>
    <t>CONSTRUÇÃO DE CRECHE PADRÃO SEDUC, LOCALIZADA À AV JOSE TRAJANO DA SILVA, BAIRRO CAMBOATÃ, PARAGOMINAS/PA</t>
  </si>
  <si>
    <t>ULIANÓPOLIS</t>
  </si>
  <si>
    <t>PREFEITURA MUNICIPAL DE ULIANÓPOLIS</t>
  </si>
  <si>
    <t>020/2023</t>
  </si>
  <si>
    <t>101CRECHEUL</t>
  </si>
  <si>
    <t>CONSTRUÇÃO DE CRECHE PADRÃO SEDUC, LOCALIZADA NA RUA VITÓRIA, Nº 331, QUADRA 53, ULIANÓPOLIS/PA</t>
  </si>
  <si>
    <t>GOIANÉSIA DO PARÁ</t>
  </si>
  <si>
    <t>PREFEITURA MUNICIPAL DE GOIANÉSIA DO PARÁ</t>
  </si>
  <si>
    <t>021/2023</t>
  </si>
  <si>
    <t>101CRECHEGP</t>
  </si>
  <si>
    <t>CONSTRUÇÃO DE CRECHE PADRÃO SEDUC, LOCALIZADA À RUA ANTÔNIO RODRIGUES, BAIRRO ALTO BONITO, RESIDENCIAL SOL NASCENTE, PERÍMETRO URBANO DE GOIANÉSIA DO PARÁ/PA</t>
  </si>
  <si>
    <t>PREFEITURA MUNICIPAL DE VIGIA DE NAZARÉ</t>
  </si>
  <si>
    <t>022/2023</t>
  </si>
  <si>
    <t>101CRECHEVG</t>
  </si>
  <si>
    <t>CONSTRUÇÃO DE CRECHE PADRÃO SEDUC, LOCALIZADA À JARDIM DO VALE,PASSAGEM FRANCISCO SIQUEIRA, S/N, VIGIA DE NAZARÉ, CONFORME DETALHADO NO PLANO DE TRABALHO E MEMORIAL DESCRITIVO DO TERMO.</t>
  </si>
  <si>
    <t>IGARAPÉ-MIRÍ</t>
  </si>
  <si>
    <t>PREFEITURA MUNICIPAL DE IGARAPÉ MIRI</t>
  </si>
  <si>
    <t>023/2023</t>
  </si>
  <si>
    <t>101CRECHEIM</t>
  </si>
  <si>
    <t>CONSTRUÇÃO DE CRECHE PADRÃO SEDUC, LOCALIZADA À RODOVIA PA 151, S/N, AO LADO DA UPA/CJ AÇAÍLAR, ZONA URBANA DO MUNICÍPIO DE IGARAPÉ MIRI/PA</t>
  </si>
  <si>
    <t>024/2023</t>
  </si>
  <si>
    <t>101CRECHEIT</t>
  </si>
  <si>
    <t>CONSTRUÇÃO DE CRECHE PADRÃO SEDUC, LOCALIZADA NO BAIRRO CAMPO BELO, RUA 15, QUADRA 58, S/N, ITAITUBA/PA</t>
  </si>
  <si>
    <t>BRAGANÇA</t>
  </si>
  <si>
    <t>PREFEITURA MUNICIPAL DE BRAGANÇA</t>
  </si>
  <si>
    <t>026/2023</t>
  </si>
  <si>
    <t>101CRECHEBX</t>
  </si>
  <si>
    <t>CONSTRUÇÃO DE CRECHE PADRÃO SEDUC, LOCALIZADA NO BAIRRO VILA SINHÁ, RUA JOSÉ EDUARDO ANAICE, S/N, BRAGANÇA/PA</t>
  </si>
  <si>
    <t>OURÉM</t>
  </si>
  <si>
    <t>PREFEITURA MUNICIPAL DE OURÉM</t>
  </si>
  <si>
    <t>027/2023</t>
  </si>
  <si>
    <t>101CRECHEOR</t>
  </si>
  <si>
    <t>CONSTRUÇÃO DE CRECHE PADRÃO SEDUC, LOCALIZADA NA RUA HERMENEGILDO ALVES, S/N, BAIRRO: JACAL, OURÉM/PA CONFORME DETALHADO NO PLANO DE TRABALHO E RELATÓRIO DE ANÁLISE DOCUMENTAL E TÉCNICA.</t>
  </si>
  <si>
    <t>028/2023</t>
  </si>
  <si>
    <t>101CRECHEJG</t>
  </si>
  <si>
    <t>CONSTRUÇÃO DE CRECHE PADRÃO SEDUC, LOCALIZADA NA AV TENENTE FERNANDES, S/N, BAIRRO SÃO PEDRO, JACAREACANGA/PA,</t>
  </si>
  <si>
    <t>CAPITÃO POÇO</t>
  </si>
  <si>
    <t>PREFEITURA MUNICIPAL DE CAPITÃO POÇO</t>
  </si>
  <si>
    <t>029/2023</t>
  </si>
  <si>
    <t>101CRECHECO</t>
  </si>
  <si>
    <t>CONSTRUÇÃO DE CRECHE PADRÃO SEDUC, LOCALIZADA NA TV LUCIVALDA FERREIRA CANABRAVA, S/N, CAPITÃO POÇO/PA,</t>
  </si>
  <si>
    <t>ANAPU</t>
  </si>
  <si>
    <t>PREFEITURA MUNICIPAL DE ANAPU</t>
  </si>
  <si>
    <t>030/2023</t>
  </si>
  <si>
    <t>101CRECHEAP</t>
  </si>
  <si>
    <t>CONSTRUÇÃO DE CRECHE PADRÃO SEDUC, LOCALIZADA NO BAIRRO CENTRO, AV. GETÚLIO VARGAS, QUADRA 04, LOTE 05, S/N, ANAPU/PA,</t>
  </si>
  <si>
    <t>SAPUCAIA</t>
  </si>
  <si>
    <t>PREFEITURA MUNICIPAL DE SAPUCAIA</t>
  </si>
  <si>
    <t>031/2023</t>
  </si>
  <si>
    <t>101CRECHESH</t>
  </si>
  <si>
    <t>CONSTRUÇÃO DE CRECHE PADRÃO SEDUC, LOCALIZADA NO BAIRRO NOVA SAPUCAIA, RUA JOSÉ MARIA BRAGA DE LIMA, S/N, SAPUCAIA/PA</t>
  </si>
  <si>
    <t>PREFEITURA MUNICIPAL DE DOM ELISEU</t>
  </si>
  <si>
    <t>032/2023</t>
  </si>
  <si>
    <t>101CRECHEDE</t>
  </si>
  <si>
    <t>CONSTRUÇÃO DE CRECHE PADRÃO SEDUC, LOCALIZADA NO BAIRRO TROPICAL, RUA SANTOS, LOTE 02, QUADRA 205, DOM ELISEU/PA</t>
  </si>
  <si>
    <t>033/2023</t>
  </si>
  <si>
    <t>101CRECHECT</t>
  </si>
  <si>
    <t>CONSTRUÇÃO DE CRECHE PADRÃO SEDUC, LOCALIZADA NO BAIRRO PRIMAVERA, TV MOCAJUBA, S/N, CAMETÁ/PA,</t>
  </si>
  <si>
    <t>R$ 6.733.199,77‬</t>
  </si>
  <si>
    <t>034/2023</t>
  </si>
  <si>
    <t>101CRECHESU</t>
  </si>
  <si>
    <t>CONSTRUÇÃO DE CRECHE PADRÃO SEDUC, LOCALIZADA À, LOCALIZADA NO LOTE 08, QUADRA15, LOTEAMENTO PANORAMA, SÃO GERALDO DO ARAGUAIA/ /PA</t>
  </si>
  <si>
    <t>NOVA TIMBOTEUA</t>
  </si>
  <si>
    <t>PREFEITURA MUNICIPAL DE NOVA TIMBOTEUA</t>
  </si>
  <si>
    <t>035/2023</t>
  </si>
  <si>
    <t>101CRECHENT</t>
  </si>
  <si>
    <t>CONSTRUÇÃO DE CRECHE PADRÃO SEDUC, LOCALIZADA NO BAIRRO SOU NASCENTE, PROX. Á AVENIDA BARÃO DO RIO BRANCO, S/N, NOVA TIMBOTEUA/PA CONFORME DETALHADO NO PLANO DE TRABALHO E RELATÓRIO DE ANÁLISE DOCUMENTAL E TÉCNICA.</t>
  </si>
  <si>
    <t>OEIRAS DO PARÁ</t>
  </si>
  <si>
    <t>PREFEITURA MUNICIPAL DE OEIRAS DO PARÁ</t>
  </si>
  <si>
    <t>036/2023</t>
  </si>
  <si>
    <t>101CRECHEOP</t>
  </si>
  <si>
    <t>CONSTRUÇÃO DE CRECHE PADRÃO SEDUC, LOCALIZADA NA TRAV. JOELSON AMARAL, S/N, NOVA OEIRAS, OEIRAS DO PARÁ /PA</t>
  </si>
  <si>
    <t>SANTA BÁRBARA DO PARÁ</t>
  </si>
  <si>
    <t>037/2023</t>
  </si>
  <si>
    <t>101CRECHESP</t>
  </si>
  <si>
    <t>BAGRE</t>
  </si>
  <si>
    <t>PREFEITURA MUNICIPAL DE BAGRE</t>
  </si>
  <si>
    <t>038/2023</t>
  </si>
  <si>
    <t>101CRECHEBG</t>
  </si>
  <si>
    <t>CONSTRUÇÃO DE CRECHE PADRÃO SEDUC, LOCALIZADA NA AVENIDA DO PARQUE AMBIENTAL, BAIRRO PARQUE AMBIENTAL, S/N, BAGRE/PA</t>
  </si>
  <si>
    <t>039/2023</t>
  </si>
  <si>
    <t>101CRECHEBI</t>
  </si>
  <si>
    <t>CONSTRUÇÃO DE CRECHE PADRÃO SEDUC, LOCALIZADA À RUA SANTA IZABEL, CENTRO, S/N, BREJO GRANDE DO ARAGUAIA /PA</t>
  </si>
  <si>
    <t>PREFEITURA MUNICIPAL DE ELDORADO DOS CARAJÁS</t>
  </si>
  <si>
    <t>040/2023</t>
  </si>
  <si>
    <t>101CRECHEEC</t>
  </si>
  <si>
    <t>CONSTRUÇÃO DE CRECHE PADRÃO SEDUC, LOCALIZADA Á AVENIDA TEOTÔNHO DAMASCENO, LOTE 001, QUADRA 06, S/N, ELDORADO DOS CARAJÁS/PA, CONFORME DETALHADO NO PLANO DE TRABALHO E RELATÓRIO DE ANÁLISE DOCUMENTAL E TÉCNICA.</t>
  </si>
  <si>
    <t>LIMOEIRO DO AJURU</t>
  </si>
  <si>
    <t>PREFEITURA MUNICIPAL DE LIMOEIRO DO AJURU</t>
  </si>
  <si>
    <t>045/2023</t>
  </si>
  <si>
    <t>101CRECHELA</t>
  </si>
  <si>
    <t>CONSTRUÇÃO DE CRECHE PADRÃO SEDUC, LOCALIZADA À BR-422, QUADRA E, BAIRRO NOVA LIMOEIRO, LIMOEIRO DO AJURU/PA</t>
  </si>
  <si>
    <t>PEIXE BOI</t>
  </si>
  <si>
    <t>PREFEITURA MUNICIPAL DE PEIXE BOI</t>
  </si>
  <si>
    <t>046/2023</t>
  </si>
  <si>
    <t>101CRECHEPX</t>
  </si>
  <si>
    <t>CONSTRUÇÃO DE CRECHE PADRÃO SEDUC, LOCALIZADA À RUA MAGALHÃES BARATA, 297, CENTRO, PEIXE-BOI/PA</t>
  </si>
  <si>
    <t>047/2023</t>
  </si>
  <si>
    <t>101CRECHEVX</t>
  </si>
  <si>
    <t>CONSTRUÇÃO DE CRECHE PADRÃO SEDUC, LOCALIZADA NA RUA MATHEUS AZEVEDO, S/N, CENTRO, VITÓRIA DO XINGU/PA</t>
  </si>
  <si>
    <t>048/2023</t>
  </si>
  <si>
    <t>101CRECHESX</t>
  </si>
  <si>
    <t>CONSTRUÇÃO DE CRECHE PADRÃO SEDUC, LOCALIZADA À AV. PIAUÍ, LOTE 273, QUADRA 52, BAIRRO BELA VISTA, S/N, DISTRITO NEREU, SÃO FÉLIX DO XINGU/PA</t>
  </si>
  <si>
    <t>049/2023</t>
  </si>
  <si>
    <t>101CRECHESS</t>
  </si>
  <si>
    <t>CONSTRUÇÃO DE CRECHE PADRÃO SEDUC, LOCALIZADA NA AV. PESCADA AMARELA, BAIRRO PIRACEMA, S/N, SÃO JOÃO DE PIRABAS/PA</t>
  </si>
  <si>
    <t>050/2023</t>
  </si>
  <si>
    <t>101CRECHETR</t>
  </si>
  <si>
    <t>CONSTRUÇÃO DE CRECHE PADRÃO SEDUC, LOCALIZADA À RUA JOSÉ OLEGÁRIO PINHEIRO, S/N, CENTRO, TRACUATEUA/PA</t>
  </si>
  <si>
    <t>ITUPIRANGA</t>
  </si>
  <si>
    <t>PREFEITURA MUNICIPAL DE ITUPIRANGA</t>
  </si>
  <si>
    <t>051/2023</t>
  </si>
  <si>
    <t>101CRECHEIG</t>
  </si>
  <si>
    <t>CONSTRUÇÃO DE CRECHE PADRÃO SEDUC, LOCALIZADA NA RUA DA SEMED, S/N, BAIRRO SANTA RITA DE CÁSSIA, ITUPIRANGA/PA</t>
  </si>
  <si>
    <t>AURORA DO PARÁ</t>
  </si>
  <si>
    <t>PREFEITURA MUNICIPAL DE AURORA DO PARÁ</t>
  </si>
  <si>
    <t>052/2023</t>
  </si>
  <si>
    <t>101CRECHEAU</t>
  </si>
  <si>
    <t>CONSTRUÇÃO DE CRECHE PADRÃO SEDUC, LOCALIZADO NA RUA PR. JOÃO DAMASCENO, S/N, VILA NOVA, AURORA DO PARÁ/PA</t>
  </si>
  <si>
    <t>BUJARU</t>
  </si>
  <si>
    <t>PREFEITURA MUNICIPAL DE BUJARU</t>
  </si>
  <si>
    <t>053/2023</t>
  </si>
  <si>
    <t>101CRECHEBU</t>
  </si>
  <si>
    <t>CONSTRUÇÃO DE CRECHE PADRÃO SEDUC, LOCALIZADA À AV. BEIRA MAR COM AV. TANCREDO NEVES, QUADRA 09, LOTE 695, S/N, BAIRRO NOVO, BUJARU/PA</t>
  </si>
  <si>
    <t>MÃE DO RIO</t>
  </si>
  <si>
    <t>PREFEITURA MUNICIPAL DE MÃE DO RIO</t>
  </si>
  <si>
    <t>054/2023</t>
  </si>
  <si>
    <t>101CRECHEMR</t>
  </si>
  <si>
    <t>CONSTRUÇÃO DE CRECHE PADRÃO SEDUC, LOCALIZADA À RUA ANTÔNIO SARAIVA RABELO, 294, BAIRRO CASTANHEIRA, MÃE DO RIO/PA</t>
  </si>
  <si>
    <t>BOM JESUS DO TOCANTINS</t>
  </si>
  <si>
    <t>PREFEITURA MUNICIPAL DE BOM JESUS DO TOCANTINS</t>
  </si>
  <si>
    <t>055/2023</t>
  </si>
  <si>
    <t>101CRECHEBJ</t>
  </si>
  <si>
    <t>CONSTRUÇÃO DE CRECHE PADRÃO SEDUC, LOCALIZADA À TV. SÃO PAULO, QUADRA 25, 73, BAIRRO NUNES, BOM JESUS DO TOCANTINS/PA</t>
  </si>
  <si>
    <t>SANTANA DO ARAGUAIA</t>
  </si>
  <si>
    <t>PREFEITURA MUNICIPAL DE SANTANA DO ARAGUAIA</t>
  </si>
  <si>
    <t>056/2023</t>
  </si>
  <si>
    <t>101CRECHESG</t>
  </si>
  <si>
    <t>CONSTRUÇÃO DE CRECHE PADRÃO SEDUC, LOCALIZADA À AV. GILBERTO CARVELLI, S/N, BAIRRO BÍBLIA, SANTANA DO ARAGUAIA/PA</t>
  </si>
  <si>
    <t>TUCUMÃ</t>
  </si>
  <si>
    <t>PREFEITURA MUNICIPAL DE TUCUMÃ</t>
  </si>
  <si>
    <t>057/2023</t>
  </si>
  <si>
    <t>101CRECHETU</t>
  </si>
  <si>
    <t>CONSTRUÇÃO DE CRECHE PADRÃO SEDUC, LOCALIZADA À AV. ALÇA MILANOS, S/N, SETOR NOVO MUNDO, TUCUMÃ/PA</t>
  </si>
  <si>
    <t>SANTA MARIA DAS BARREIRAS</t>
  </si>
  <si>
    <t>PREFEITURA MUNICIPAL DE SANTA MARIA DAS BARREIRAS</t>
  </si>
  <si>
    <t>058/2023</t>
  </si>
  <si>
    <t>101CRECHESB</t>
  </si>
  <si>
    <t>CONSTRUÇÃO DE CRECHE PADRÃO SEDUC, LOCALIZADA À RUA LUCIANO LUNARDELLI, LOTE 01, QUADRA 39, S/N, LOTEAMENTO SAWANOPOLIS, DISTRITO DE CASA DE TÁBUA, SANTA MARIA DAS BARREIRAS/PA</t>
  </si>
  <si>
    <t>PRIMAVERA</t>
  </si>
  <si>
    <t>PREFEITURA MUNICIPAL DE PRIMAVERA</t>
  </si>
  <si>
    <t>059/2023</t>
  </si>
  <si>
    <t>101CRECHEPV</t>
  </si>
  <si>
    <t>CONSTRUÇÃO DE CRECHE PADRÃO SEDUC, LOCALIZADA À VICINAL DA VILA DO BACABAL, S/N, PRIMAVERA/PA</t>
  </si>
  <si>
    <t>SÃO FRANCISCO DO PARÁ</t>
  </si>
  <si>
    <t>PREFEITURA MUNICIPAL DE SÃO FRANCISCO DO PARÁ</t>
  </si>
  <si>
    <t>060/2023</t>
  </si>
  <si>
    <t>101CRECHESF</t>
  </si>
  <si>
    <t>CONSTRUÇÃO DE CRECHE PADRÃO SEDUC, LOCALIZADA À RUA LUIZ LOPES SOBRINHO, S/N, BAIRRO ALMIR GABRIEL, SÃO FRANCISCO DO PARÁ/PA</t>
  </si>
  <si>
    <t>JACUNDÁ</t>
  </si>
  <si>
    <t>PREFEITURA MUNICIPAL DE JACUNDÁ</t>
  </si>
  <si>
    <t>061/2023</t>
  </si>
  <si>
    <t>101CRECHEJD</t>
  </si>
  <si>
    <t>CONSTRUÇÃO DE CRECHE PADRÃO SEDUC, LOCALIZADA À A RUA SANTA ROSA, BAIRRO PALMARES, Nº 170, JACUNDÁ/PA</t>
  </si>
  <si>
    <t>INHANGAPI</t>
  </si>
  <si>
    <t>PREFEITURA MUNICIPAL DE INHANGAPI</t>
  </si>
  <si>
    <t>062/2023</t>
  </si>
  <si>
    <t>101CRECHEIN</t>
  </si>
  <si>
    <t>CONSTRUÇÃO DE CRECHE PADRÃO SEDUC, LOCALIZADA À O RAMAL DA TRINDADE, S/N, VILA PERNAMBUCO, ZONA RURAL, INHANGAPI/PA</t>
  </si>
  <si>
    <t>CAPANEMA</t>
  </si>
  <si>
    <t>PREFEITURA MUNICIPAL DE CAPANEMA</t>
  </si>
  <si>
    <t>063/2023</t>
  </si>
  <si>
    <t>101CRECHECM</t>
  </si>
  <si>
    <t>CONSTRUÇÃO DE CRECHE PADRÃO SEDUC, LOCALIZADA NO LOTE N° 01, QUADRA N°29, LOTEAMENTO RESIDENCIAL, RUA HOLANDA RIOS, BAIRRO SÃO PEDRO/SÃO PAULO, CEP: 687000-000 CAPANEMA/PA</t>
  </si>
  <si>
    <t>NOVA IPIXUNA</t>
  </si>
  <si>
    <t>PREFEITURA MUNICIPAL DE NOVA IPIXUNA</t>
  </si>
  <si>
    <t>064/2023</t>
  </si>
  <si>
    <t>101CRECHEIP</t>
  </si>
  <si>
    <t>CONSTRUÇÃO DE CRECHE PADRÃO SEDUC, LOCALIZADA À RUA PANTANAL, QUADRA10, LOTE 01, BAIRRO NOVA JERUSALEM, S/N, NOVA IPIXUNA/PA</t>
  </si>
  <si>
    <t>SÃO CAETANO DE ODIVELAS</t>
  </si>
  <si>
    <t>PREFEITURA MUNICIPAL DE SÃO CAETANO DE ODIVELAS</t>
  </si>
  <si>
    <t>066/2023</t>
  </si>
  <si>
    <t>101CRECHEOD</t>
  </si>
  <si>
    <t>CONSTRUÇÃO DE CRECHE PADRÃO SEDUC, LOCALIZADA À AV. MAGALHÃES BARATA, S/N, BAIRRO BELÉM NOVA, ZONA URBANA, SÃO CAETANO DE ODIVELAS/PA</t>
  </si>
  <si>
    <t>067/2023</t>
  </si>
  <si>
    <t>101CRECHECG</t>
  </si>
  <si>
    <t>CONSTRUÇÃO DE CRECHE PADRÃO SEDUC, LOCALIZADA À A AVENIDA DO LAGO, QUADRA 34, M-01, S/N, BAIRRO RESIDENCIAL ALIANÇA, CONCEIÇÃO DO ARAGUAIA /PA</t>
  </si>
  <si>
    <t>SANTA IZABEL DO PARÁ</t>
  </si>
  <si>
    <t>PREFEITURA MUNICIPAL DE SANTA IZABEL DO PARÁ</t>
  </si>
  <si>
    <t>068/2023</t>
  </si>
  <si>
    <t>101CRECHESI</t>
  </si>
  <si>
    <t>CONSTRUÇÃO DE CRECHE PADRÃO SEDUC, LOCALIZADA À AV. PEDRO RODRIGUES DA CUNHA, S/N, BAIRRO TRIÂNGULO, SANTA IZABEL DO PARÁ/PA</t>
  </si>
  <si>
    <t>069/2023</t>
  </si>
  <si>
    <t>101CRECHERP</t>
  </si>
  <si>
    <t>CONSTRUÇÃO DE CRECHE PADRÃO SEDUC, LOCALIZADA À RUA BOSTON, S/N, LOTEAMENTO RESIDENCIAL AMÉRICA, RONDON DO PARÁ/PA</t>
  </si>
  <si>
    <t>BONITO</t>
  </si>
  <si>
    <t>PREFEITURA MUNICIPAL DE BONITO</t>
  </si>
  <si>
    <t>070/2023</t>
  </si>
  <si>
    <t>101CRECHEBO</t>
  </si>
  <si>
    <t>CONSTRUÇÃO DE CRECHE PADRÃO SEDUC, LOCALIZADA À TRAV MEJER I, S/N, BAIRRO MEJER, BONITO /PA</t>
  </si>
  <si>
    <t>071/2023</t>
  </si>
  <si>
    <t>101CRECHETD</t>
  </si>
  <si>
    <t>CONSTRUÇÃO DE CRECHE PADRÃO SEDUC, LOCALIZADA À ROD. PA 150, N. 01, BAIRRO INDUSTRIAL, TAILÂNDIA/PA</t>
  </si>
  <si>
    <t>CACHOEIRA DO PIRIÁ</t>
  </si>
  <si>
    <t>PREFEITURA MUNICIPAL DE CACHOEIRA DO PIRIÁ</t>
  </si>
  <si>
    <t>001/2024</t>
  </si>
  <si>
    <t>101CRECHECP</t>
  </si>
  <si>
    <t>CONSTRUÇÃO DE CRECHE PADRÃO SEDUC, LOCALIZADA À RUA MÁRIO COVAS, S/N, PIÇARREIRA, CACHOEIRA DO PIRIÁ/PA</t>
  </si>
  <si>
    <t>SANTARÉM</t>
  </si>
  <si>
    <t>003/2024</t>
  </si>
  <si>
    <t>101CRECHESR</t>
  </si>
  <si>
    <t>CONSTRUÇÃO DE CRECHE PADRÃO SEDUC, LOCALIZADA À ESTRADA DO MUTUNUY NO BAIRRO DO VIGIA, S/N, CURUÁ - UNA, SANTARÉM/PA</t>
  </si>
  <si>
    <t>004/2024</t>
  </si>
  <si>
    <t>101CRECHEAC</t>
  </si>
  <si>
    <t>CONSTRUÇÃO DE CRECHE PADRÃO SEDUC, LOCALIZADA À RUA B, S/N, LOTEAMENTO ÁLVARO LOBO, BAIRRO SÃO BENEDITO, AUGUSTO CORRÊA/PA,</t>
  </si>
  <si>
    <t>JURUTI</t>
  </si>
  <si>
    <t>PREFEITURA MUNICIPAL DE JURUTI</t>
  </si>
  <si>
    <t>005/2024</t>
  </si>
  <si>
    <t>101CRECHEJU</t>
  </si>
  <si>
    <t>CONSTRUÇÃO DE CRECHE PADRÃO SEDUC, LOCALIZADA À RUA OSVALDO PEREIRA DA COSTA, BAIRRO SÃO MARCOS, CEP: 68.170-000, S/N, JURUTI/PA.</t>
  </si>
  <si>
    <t>006/2024</t>
  </si>
  <si>
    <t>101CRECHESN</t>
  </si>
  <si>
    <t>CONSTRUÇÃO DE CRECHE PADRÃO SEDUC, LOCALIZADA À RUA BOM JESUS, S/N,VILA PERI MIRI, ZONA RURAL, SANTARÉM NOVO/PA</t>
  </si>
  <si>
    <t>007/2024</t>
  </si>
  <si>
    <t>101CRECHEON</t>
  </si>
  <si>
    <t>CONSTRUÇÃO DE CRECHE PADRÃO SEDUC, LOCALIZADA À RUA 02, S/N, QUADRA 33, LOTE 01, 02, 03, 04, 05, 06, 07, 08, 16, 17, 18, 19, 20 E QUADRA 32, LOTE 03, 04, 05, 06 E 07, LOTEAMENTO ALVORADA, OURILÂNDIA DO NORTE/PA</t>
  </si>
  <si>
    <t>IRITUIA</t>
  </si>
  <si>
    <t>PREFEITURA MUNICIPAL DE IRITUIA</t>
  </si>
  <si>
    <t>008/2024</t>
  </si>
  <si>
    <t>101CRECHEIR</t>
  </si>
  <si>
    <t>CONSTRUÇÃO DE CRECHE PADRÃO SEDUC, LOCALIZADA À RUA SÃO BENEDITO, S/N, IRITUIA/PA</t>
  </si>
  <si>
    <t>MARACANÃ</t>
  </si>
  <si>
    <t>PREFEITURA MUNICIPAL DE MARACANÃ</t>
  </si>
  <si>
    <t>009/2024</t>
  </si>
  <si>
    <t>101CRECHEMC</t>
  </si>
  <si>
    <t>CONSTRUÇÃO DE CRECHE PADRÃO SEDUC, LOCALIZADA À RODOVIA PA, 430, S/N, VILA DE QUATRO BOCAS, MARACANÃ/PA</t>
  </si>
  <si>
    <t>010/2024</t>
  </si>
  <si>
    <t>CONSTRUÇÃO DE CRECHE PADRÃO SEDUC, LOCALIZADA NA AV. CONCEIÇÃO, S/N°, BAIRRO DISTRITO NOVO HORIZONTE, IPIXUNA DO PARÁ/PA</t>
  </si>
  <si>
    <t>TUCURUÍ</t>
  </si>
  <si>
    <t>PREFEITURA MUNICIPAL DE TUCURUÍ</t>
  </si>
  <si>
    <t>011/2024</t>
  </si>
  <si>
    <t>101SIJARETI</t>
  </si>
  <si>
    <t>REFORMA DA EEEM SIMÃO JACINTO DOS REIS LOCALIZADA À TV PERNAMBUCO, S/N, BAIRRO CARAJÁS, TUCURUÍ/PA</t>
  </si>
  <si>
    <t>012/2024</t>
  </si>
  <si>
    <t>101ANPOFRTI</t>
  </si>
  <si>
    <t>REFORMA E AMPLIAÇÃO DA ESCOLA ESTADUAL DE ENSINO MÉDIO ANA PONTES FRANCEZ, LOCALIZADA NA RUA 01 – S/N, BAIRRO JARDIM MARILUCY – TUCURUÍ</t>
  </si>
  <si>
    <t>TOMÉ AÇU</t>
  </si>
  <si>
    <t>PREFEITURA MUNICIPAL DE TOMÉ AÇÚ</t>
  </si>
  <si>
    <t>013/2024</t>
  </si>
  <si>
    <t>101FABLUZTA</t>
  </si>
  <si>
    <t>REFORMA E AMPLIAÇÃO DA ESCOLA ESTADUAL DE ENSINO FUNDAMENTAL DR. FÁBIO LUZ.</t>
  </si>
  <si>
    <t>014/2024</t>
  </si>
  <si>
    <t>101LICSOLBI</t>
  </si>
  <si>
    <t>REFORMA, ADEQUAÇÃO E AMPLIAÇÃO DA EEEM. PROF. LÍCIO SOLHEIRO – NO MUNICÍPIO DE BREJO GRANDE DO ARAGUAIA</t>
  </si>
  <si>
    <t>GARRAFÃO DO NORTE</t>
  </si>
  <si>
    <t>PREFEITURA MUNICIPAL DE GARRAFÃO DO NORTE</t>
  </si>
  <si>
    <t>015/2024</t>
  </si>
  <si>
    <t>101CRECHEGN</t>
  </si>
  <si>
    <t>CONSTRUÇÃO DE CRECHE PADRÃO SEDUC, LOCALIZADA À RUA CATARINA LEITE, S/N, BAIRRO PORTÃO, GARRAFÃO DO NORTE/PA</t>
  </si>
  <si>
    <t>SÃO JOÃO DO ARAGUAIA</t>
  </si>
  <si>
    <t>PREFEITURA MUNICIPAL DE SÃO JOÃO DO ARAGUAIA</t>
  </si>
  <si>
    <t>016/2024</t>
  </si>
  <si>
    <t>101CRECHESJ</t>
  </si>
  <si>
    <t>CONSTRUÇÃO DE CRECHE PADRÃO SEDUC, LOCALIZADA À RUA DA TORRE, S/N, CENTRO, SÃO JOÃO DO ARAGUAIA/PA</t>
  </si>
  <si>
    <t>SÃO SEBASTIÃO DA BOA VISTA</t>
  </si>
  <si>
    <t>PREFEITURA MUNICIPAL DE SÃO SEBASTIÃO DA BOA VISTA</t>
  </si>
  <si>
    <t>017/2024</t>
  </si>
  <si>
    <t>101CRECHESD</t>
  </si>
  <si>
    <t>CONSTRUÇÃO DE CRECHE PADRÃO SEDUC, LOCALIZADA À RUA NOVA, S/N,BAIRRO TERRINHA, SÃO SEBASTIÃO DA BOA VISTA/PA</t>
  </si>
  <si>
    <t>CANAÃ DOS CARAJÁS</t>
  </si>
  <si>
    <t>PREFEITURA MUNICIPAL DE CANAÃ DOS CARAJÁS</t>
  </si>
  <si>
    <t>019/2024</t>
  </si>
  <si>
    <t>1010008906C</t>
  </si>
  <si>
    <t>LOCAÇÃO DE 10 (DEZ) MÓDULOS HABITACIONAIS (SALAS DE AULA) DEVIDAMENTE EQUIPADOS E CLIMATIZADOS PARA ATENDIMENTO EMERGENCIAL DOS ESTUDANTES DA REDE PÚBLICA ESTADUAL NO MUNICÍPIO DE CANAÃ DOS CARAJÁS/PA</t>
  </si>
  <si>
    <t>PALESTINA DO PARÁ</t>
  </si>
  <si>
    <t>PREFEITURA MUNICIPAL DE PALESTINA DO PARÁ</t>
  </si>
  <si>
    <t>020/2024</t>
  </si>
  <si>
    <t>10121ABRIPP</t>
  </si>
  <si>
    <t>REFORMA, ADEQUAÇÃO E CONSTRUÇÃO DA EEEFM 21 DE ABRIL, LOCALIZADO NA RUA RUI BARBOSA, S/N, CIDADE NOVA, PALESTINA DO PARÁ/PA, CONFORME DETALHADO NO PLANO DE TRABALHO E RELATÓRIO DE ANÁLISE DOCUMENTAL E TÉCNICA</t>
  </si>
  <si>
    <t>021/2024</t>
  </si>
  <si>
    <t>101JOAO23SD</t>
  </si>
  <si>
    <t>REFORMA E AMPLIAÇÃO DA ESCOLA ESTADUAL DE ENSINO FUNDAMENTAL E MÉDIO JOÃO XXIII</t>
  </si>
  <si>
    <t>022/2024</t>
  </si>
  <si>
    <t>101FRANCIEC</t>
  </si>
  <si>
    <t>REFORMA E AMPLIAÇÃO DA ESCOLA ESTADUAL DE FUNDAMENTAL E MÉDIO FRANCILÂNDIA, LOCALIZADA NA AV. SÃO GERALDO, N° 148, QUADRA 122, LOTE01, BAIRRO NOVO ELDORADO, ELDORADO DOS CARAJÁS/PA</t>
  </si>
  <si>
    <t>PREFEITURA MUNICIPAL SANTA MARIA DAS BARREIRAS</t>
  </si>
  <si>
    <t>023/2024</t>
  </si>
  <si>
    <t>101DISTABSB</t>
  </si>
  <si>
    <t>CONCLUSÃO DA CONSTRUÇÃO DA ESCOLA DE 12 SALAS, LOCALIZADA NA BR 158, S/N, CEP: 68565-000, DISTRITO DE CASA DE TÁBUA, SANTA MARIA DAS BARREIRAS/PA</t>
  </si>
  <si>
    <t>024/2024</t>
  </si>
  <si>
    <t>101ELDCAREC</t>
  </si>
  <si>
    <t>REFORMA E AMPLIAÇÃO DA ESCOLA ESTADUAL DE ENSINO MÉDIO ELDORADO, LOCALIZADA NA RUA DO AEROPORTO I, QUADRA 19, LOTE 01, KM 02, ELDORADO DOS CARAJÁS/PA</t>
  </si>
  <si>
    <t>025/2024</t>
  </si>
  <si>
    <t>101FRECONAM</t>
  </si>
  <si>
    <t>REFORMA E AMPLIAÇÃO DA ESCOLA ESTADUAL DE ENSINO MÉDIO FREI CONSTÂNCIO, LOCALIZADA NA RUA CELSO ANDRADE DE OLIVEIRA, QUADRA 102, Nº 770, BAIRRO PALHAL, ALMEIRIM/PA</t>
  </si>
  <si>
    <t>PREFEITURA MUNICIPAL DE CURIONOPOLIS</t>
  </si>
  <si>
    <t>026/2024</t>
  </si>
  <si>
    <t>101ALMGABCS</t>
  </si>
  <si>
    <t>REFORMA E ADEQUAÇÃO DA ESCOLA ESTADUAL DE ENSINO MÉDIO ALMIR GABRIEL, LOCALIZADA NA AV. MINAS GERAIS, 202, ESQUINA DA AV. BRASIL, CENTRO, CURIONÓPOLIS/PA</t>
  </si>
  <si>
    <t>PORTEL</t>
  </si>
  <si>
    <t>PREFEITURA MUNICIPAL DE PORTEL</t>
  </si>
  <si>
    <t>027/2024</t>
  </si>
  <si>
    <t>101PAUBRIPT</t>
  </si>
  <si>
    <t>REFORMA E CONSTRUÇÃO DA ESCOLA ESTADUAL ENSINO MÉDIO PAULINO DE BRITO SEDE, LOCALIZADA NA TRAVESSA CORONEL SEVERIANO DE MOURA, S/N, CENTRO, PORTEL/PA</t>
  </si>
  <si>
    <t>028/2024</t>
  </si>
  <si>
    <t>101CRECHEBA</t>
  </si>
  <si>
    <t>CONSTRUÇÃO DE CRECHE PADRÃO SEDUC, LOCALIZADA À RUA BENTO LOPES, S/N, BAIRRO NOVO, SÃO FRANCISCO, BIÃO/PA.</t>
  </si>
  <si>
    <t>029/2024</t>
  </si>
  <si>
    <t>101ESC8SLAM</t>
  </si>
  <si>
    <t>CONSTRUÇÃO DE ESCOLA MISTA 8 SALAS, LOCALIZADA NA RUA ONOFRE CAVALCANTE DA SILVA, QUADRA 25, Nº 1000, BAIRRO MATINHA, ALMEIRIM/PA.</t>
  </si>
  <si>
    <t>MOCAJUBA</t>
  </si>
  <si>
    <t>PREFEITURA MUNICIPAL DE MOCAJUBA</t>
  </si>
  <si>
    <t>030/2024</t>
  </si>
  <si>
    <t>101CRECHEMJ</t>
  </si>
  <si>
    <t>CONSTRUÇÃO DE CRECHE PADRÃO SEDUC, LOCALIZADA À TRAV. C S/N, BAIRRO MONTE ALEGRE, MOCAJUBA/PA.</t>
  </si>
  <si>
    <t>031/2024</t>
  </si>
  <si>
    <t>101IZAMARIG</t>
  </si>
  <si>
    <t>REFORMA E AMPLIAÇÃO DA ESCOLA ESTADUAL ENSINO FUNDAMENTAL E MÉDIO PROFª. IZABEL MARACAÍPE, LOCALIZADA NA RUA DOMINGOS WOLF, S/N, AO LADO DO ESTÁDIO E. CENTRO, ITUPIRANGA/PA</t>
  </si>
  <si>
    <t>032/2024</t>
  </si>
  <si>
    <t>101BRATROIG</t>
  </si>
  <si>
    <t>CONSTRUÇÃO DA ESCOLA ESTADUAL ENSINO FUNDAMENTAL BRASIL TROPICAL, LOCALIZADA NA RUA SANTA HELENA, S/N, DISTRITO DE CAJAZEIRAS, ITUPIRANGA/PA</t>
  </si>
  <si>
    <t>SÃO JOÃO DA PONTA</t>
  </si>
  <si>
    <t>PREFEITURA MUNICIPAL DE SÃO JOÃO DA PONTA</t>
  </si>
  <si>
    <t>034/2024</t>
  </si>
  <si>
    <t>101CRECHESW</t>
  </si>
  <si>
    <t>CONSTRUÇÃO DE CRECHE PADRÃO SEDUC, LOCALIZADA À RUA DO MIRI S/N, RAMAL JACAREAQUARA, ZONA RURAL, SÃO JOÃO DA PONTA/PA.</t>
  </si>
  <si>
    <t>NOVA ESPERANÇA DO PIRIÁ</t>
  </si>
  <si>
    <t>PREFEITURA MUNICIPAL DE NOVA ESPERANÇA DO PIRIÁ</t>
  </si>
  <si>
    <t>035/2024</t>
  </si>
  <si>
    <t>101CRECHENP</t>
  </si>
  <si>
    <t>CONSTRUÇÃO DE CRECHE PADRÃO SEDUC, LOCALIZADA NA ESTRADA DO AGRICULTOR, S/N, CIDADE NOVA. NOVA ESPERANÇA DO PIRIÁ/PA.</t>
  </si>
  <si>
    <t>036/2024</t>
  </si>
  <si>
    <t>101MASINUCT</t>
  </si>
  <si>
    <t>CONSTRUÇÃO DE NOVO PRÉDIO DA ESCOLA MARIA DA SILVA NUNES, LOCALIZADA NA RUA PADRE GUILHERME, S/N, VILA DO CARMO – CAMETÁ/PA</t>
  </si>
  <si>
    <t>SOURE</t>
  </si>
  <si>
    <t>PREFEITURA MUNICIPAL DE SOURE</t>
  </si>
  <si>
    <t>037/2024</t>
  </si>
  <si>
    <t>101GABASISQ</t>
  </si>
  <si>
    <t>REFORMA DA ESCOLA GASPARINO BATISTA DA SILVA, LOCALIZADA À TV QUATORZE, 645, CENTRO, SOURE/PA</t>
  </si>
  <si>
    <t>038/2024</t>
  </si>
  <si>
    <t>101JOLICASQ</t>
  </si>
  <si>
    <t>REFORMA DA ESCOLA JOANA DE LIMA CABRAL NO MUNICÍPIO DE SOURE, LOCALIZADA À COMUNIDADE DO CAJU-ÚNA, SOURE/PA</t>
  </si>
  <si>
    <t>039/2024</t>
  </si>
  <si>
    <t>101OSCREGMR</t>
  </si>
  <si>
    <t>REFORMA E AMPLIAÇÃO DA E.E.E.M. PROFª OSCARINA ANTÔNIA SOUZA DO REGO, LOCALIZADO NA RUA 25 DE DEZEMBRO, SN, BAIRRO HABITAR BRASIL. 68675-000, MÃE DO RIO/PA</t>
  </si>
  <si>
    <t>040/2024</t>
  </si>
  <si>
    <t>101STATERAU</t>
  </si>
  <si>
    <t>REFORMA E AMPLIAÇÃO DA ESCOLA MUNICIPAL DE ENSINO FUNDAMENTAL SANTA TEREZINHA, LOCALIZADA NA RUA SEBASTIÃO PINTO, S/N, COMUNIDADE DE SANTA TEREZINHA DO IPITINGA, DISTRITO URBANO, AURORA DO PARÁ/PA</t>
  </si>
  <si>
    <t>041/2024</t>
  </si>
  <si>
    <t>101AGMOOLIN</t>
  </si>
  <si>
    <t>REFORMA E AMPLIAÇÃO DA E.E..E.M AGOSTINHO MORAES DE OLIVEIRA, LOCALIZADA À AV. JOSÉ EVANGELISTA DOS REIS , Nº520 – BAIRRO DE VILA NOVA , INHANGAPI/PA</t>
  </si>
  <si>
    <t>042/2024</t>
  </si>
  <si>
    <t>101LAPISOAU</t>
  </si>
  <si>
    <t>REFORMA E AMPLIAÇÃO DA EEEM. DR. LAUDELINO PINTO SOARES</t>
  </si>
  <si>
    <t>PREFEITURA MUNICIPAL SANTANA DO ARAGUAIA</t>
  </si>
  <si>
    <t>043/2024</t>
  </si>
  <si>
    <t>101JOSISESG</t>
  </si>
  <si>
    <t>CONCLUSÃO DA REFORMA E AMPLIAÇÃO DA EEEM PROF. JORCELI SILVA SESTARI, LOCALIZADA À PRAÇA DA MATRIZ, S/N, EM FRENTE À IGREJA, CENTRO, CEP: 68.560-000, SANTANA DO ARAGUAIA/PA</t>
  </si>
  <si>
    <t>044/2024</t>
  </si>
  <si>
    <t>101JOBOSOSM</t>
  </si>
  <si>
    <t>REFORMA, ADEQUAÇÃO E AMPLIAÇÃO DA ESCOLA ESTADUAL DE ENSINO FUNDAMENTAL JOÃO BOTELHO DE SOUZA, LOCALIZADA NA RUA VICENTE FERNANDES, S/N, BAIRRO ESTRELA, SANTA MARIA DO PARÁ/PA</t>
  </si>
  <si>
    <t>MAGALHÃES BARATA</t>
  </si>
  <si>
    <t>PREFEITURA MUNICIPAL DE MAGALHÃES BARATA</t>
  </si>
  <si>
    <t>045/2024</t>
  </si>
  <si>
    <t>101MAJOMOML</t>
  </si>
  <si>
    <t>REFORMA, ADEQUAÇÃO E AMPLIAÇÃO DA ESCOLA ESTADUAL DE ENSINO FUNDAMENTAL E MÉDIO PROF. MANOEL JOAQUIM MONTEIRO, LOCALIZADA NA AV. CENTRAL, S/N, CENTRO, MAGALHÃES BARATA/PA</t>
  </si>
  <si>
    <t>ANAJÁS</t>
  </si>
  <si>
    <t>PREFEITURA MUNICIPAL DE ANAJÁS</t>
  </si>
  <si>
    <t>046/2024</t>
  </si>
  <si>
    <t>101RUIBARAN</t>
  </si>
  <si>
    <t>REFORMA, ADEQUAÇÃO E AMPLIAÇÃO DA ESCOLA ESTADUAL DE ENSINO MÉDIO RUI BARBOSA, LOCALIZADA NA TRAVESSA REZENDE JÚNIOR ESQUINA COM A RUA MANOEL VIEIRA, CENTRO, ANAJÁS/PA</t>
  </si>
  <si>
    <t>PREFEITURA MUNICIPAL SÃO MIGUEL DO GUAMÁ</t>
  </si>
  <si>
    <t>047/2024</t>
  </si>
  <si>
    <t>101FREIBUSE</t>
  </si>
  <si>
    <t>REFORMA, ADEQUAÇÃO E AMPLIAÇÃO DA EEEM FREI MIGUEL DE BULHÕES, LOCALIZADA RUA ANTONIO CARLOS DE LIMA, S/N, BAIRRO VILA NOVA. 68660-000, SÃO MIGUEL DO GUAMÁ/PA</t>
  </si>
  <si>
    <t>048/2024</t>
  </si>
  <si>
    <t>101STABARSP</t>
  </si>
  <si>
    <t>REFORMA E AMPLIAÇÃO DA ESCOLA ESTADUAL DE ENSINO FUNDAMENTAL SANTA BÁRBARA, LOCALIZADA NA RUA FERNANDO FERRARI, S/N, CENTRO, SANTA BÁRBARA DO PARÁ/PA</t>
  </si>
  <si>
    <t>049/2024</t>
  </si>
  <si>
    <t>101ANTGORMO</t>
  </si>
  <si>
    <t>REFORMA, ADEQUAÇÃO E AMPLIAÇÃO DA ESCOLA ESTADUAL DE ENSINO MÉDIO ANTÔNIO DE OLIVEIRA GORDO, LOCALIZADA NA AV. DAS PALMEIRAS, 185, CENTRO, MOJU/PA</t>
  </si>
  <si>
    <t>050/2024</t>
  </si>
  <si>
    <t>101BRAGURCG</t>
  </si>
  <si>
    <t>CONSTRUÇÃO DE NOVO PRÉDIO DA EEEFM. BRAULIA GURJÃO, LOCALIZADA NA TV. TOCANTINS, S/N, LOTEAMENTO VALE DO SOL, S/N, CONCEIÇÃO DO ARAGUAIA/PA</t>
  </si>
  <si>
    <t>051/2024</t>
  </si>
  <si>
    <t>101IRMSANOR</t>
  </si>
  <si>
    <t>REFORMA E AMPLIAÇÃO DA ESCOLA ESTADUAL ENSINO FUNDAMENTAL E MÉDIO IRMÃ SANCHA AUGUSTA DE SOUZA E SILVA, LOCALIZADA AV. PRINCIPAL, 216, CEP 68640-000, OURÉM/PA.</t>
  </si>
  <si>
    <t>053/2024</t>
  </si>
  <si>
    <t>101JOELCHPJ</t>
  </si>
  <si>
    <t>REFORMA E AMPLIAÇÃO DA ESCOLA ESTADUAL DE ENSINO MÉDIO DOM JOSÉ ELIAS CHAVES, LOCALIZADA NA TV. DOS ANJOS, VIC. DA ROCHA, KM 1,5, NOVA COLINA, PACAJÁ/PA</t>
  </si>
  <si>
    <t>054/2024</t>
  </si>
  <si>
    <t>101JOWIPECG</t>
  </si>
  <si>
    <t>REFORMA E AMPLIAÇÃO DA EEEM. PROFESSOR JOSÉ WILSON LEITE EM CONCEIÇÃO DO ARAGUAIA/PA</t>
  </si>
  <si>
    <t>055/2024</t>
  </si>
  <si>
    <t>101JOAGGUAM</t>
  </si>
  <si>
    <t>REFORMA E AMPLIAÇÃO DA ESCOLA ESTADUAL ENSINO MÉDIO JOSÉ AGOSTINHO GUERRA, LOCALIZADA NA RUA 89, VILA FACEL, Nº 180, DISTRITO DE MONTE DOURADO, ALMEIRIM/PA</t>
  </si>
  <si>
    <t>056/2024</t>
  </si>
  <si>
    <t>101ANJEOLDE</t>
  </si>
  <si>
    <t>REFORMA, ADEQUAÇÃO E AMPLIAÇÃO DA ESCOLA ESTADUAL DE ENSINO MÉDIO ANTÔNIO JESUS DE OLIVEIRA, LOCALIZADA NA AV. GETÚLIO VARGAS, S/N, VILA BELA VISTA, DOM ELISEU/PA</t>
  </si>
  <si>
    <t>057/2024</t>
  </si>
  <si>
    <t>101ETIS18BG</t>
  </si>
  <si>
    <t>CONSTRUÇÃO DE ESCOLA DE TEMPO INTEGRAL COM 18 SALAS DE AULA , LOCALIZADA À AV RAIMUNDO FARIAS LOBATO, S/N, BAIRRO CENTRO, BAGRE/PA</t>
  </si>
  <si>
    <t>025/2025</t>
  </si>
  <si>
    <t>101PAJOANSH</t>
  </si>
  <si>
    <t>REFORMA, ADEQUAÇÃO E AMPLIAÇÃO DA ESCOLA MUNICIPAL DE ENSINO FUNDAMENTAL PADRE JOSÉ ANCHIETA, LOCALIZADA NA RUA JASMIN, LOTE 01, QUADRA 017, SETOR 01, S/N, BAIRRO CENTRAL, SAPUCAIA/PA.</t>
  </si>
  <si>
    <t>BELÉM</t>
  </si>
  <si>
    <t>PREVENTÓRIO SANTA TEREZINHA</t>
  </si>
  <si>
    <t>024/2025</t>
  </si>
  <si>
    <t>1010008904C</t>
  </si>
  <si>
    <t>orgao</t>
  </si>
  <si>
    <t>municipio</t>
  </si>
  <si>
    <t>convenente</t>
  </si>
  <si>
    <t>numero_convenio</t>
  </si>
  <si>
    <t>plano_interno</t>
  </si>
  <si>
    <t>objeto</t>
  </si>
  <si>
    <t>grupo_despesa</t>
  </si>
  <si>
    <t>data_inicio</t>
  </si>
  <si>
    <t>data_fim</t>
  </si>
  <si>
    <t>valor_total</t>
  </si>
  <si>
    <t>valor_orgao</t>
  </si>
  <si>
    <t>valor_contrapartida</t>
  </si>
  <si>
    <t>quantidade_parcelas</t>
  </si>
  <si>
    <t>aditivo</t>
  </si>
  <si>
    <t>INVESTIMENTO</t>
  </si>
  <si>
    <t>numero_parcela</t>
  </si>
  <si>
    <t>valor_previsto</t>
  </si>
  <si>
    <t>valor_pago</t>
  </si>
  <si>
    <t>data_pagamento</t>
  </si>
  <si>
    <t>situacao</t>
  </si>
  <si>
    <t>PAGA</t>
  </si>
  <si>
    <t>ABERTA</t>
  </si>
  <si>
    <t>ano</t>
  </si>
  <si>
    <t>PREFEITURA MUNICIPAL DE SANTARÉM</t>
  </si>
  <si>
    <t>POR ESTE TERMO DE FOMENTO O PREVENTÓRIO SANTA TEREZINHA OFERTARÁ À SECRETARIA DE ESTADO DE EDUCAÇÃO - SEDUC, 150 (CENTO E CINQUENTA) VAGAS PARA ATENDIMENTO ESPECIALIZADO ÀS CRIANÇAS COM DIFICULDADE DE APRENDIZAGEM, NA FAIXA ETÁRIA DE 5 A 12 ANOS ENCAMINHADOS PELA COORDENAÇÃO DE EDUCAÇÃO ESPECIAL - COEES DA SEDUC.</t>
  </si>
  <si>
    <t>VIGIA</t>
  </si>
  <si>
    <t>CURIONÓPOLIS</t>
  </si>
  <si>
    <t>ELDORADO DO CARAJÁS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</si>
</sst>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$&quot;\ #,##0.00_);[Red]\(&quot;R$&quot;\ #,###.00\)"/>
    <numFmt numFmtId="165" formatCode="[$R$ -416]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43" fontId="0" fillId="0" borderId="0" xfId="1" applyFont="1"/>
    <xf numFmtId="0" fontId="3" fillId="2" borderId="0" xfId="0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/>
    </xf>
    <xf numFmtId="14" fontId="4" fillId="4" borderId="0" xfId="0" applyNumberFormat="1" applyFont="1" applyFill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14" fontId="4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165" fontId="3" fillId="6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164" fontId="4" fillId="4" borderId="0" xfId="0" applyNumberFormat="1" applyFont="1" applyFill="1" applyAlignment="1">
      <alignment horizontal="left" vertical="center"/>
    </xf>
    <xf numFmtId="165" fontId="2" fillId="6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14" fontId="1" fillId="7" borderId="0" xfId="0" applyNumberFormat="1" applyFont="1" applyFill="1" applyAlignment="1">
      <alignment horizontal="left" vertical="center"/>
    </xf>
    <xf numFmtId="165" fontId="1" fillId="7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 vertical="center"/>
    </xf>
    <xf numFmtId="4" fontId="0" fillId="0" borderId="0" xfId="0" applyNumberFormat="1"/>
  </cellXfs>
  <cellStyles count="2">
    <cellStyle name="Normal" xfId="0" builtinId="0"/>
    <cellStyle name="Vírgula" xfId="1" builtinId="3"/>
  </cellStyles>
  <dxfs count="18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O146" totalsRowShown="0" headerRowDxfId="17" dataDxfId="16">
  <autoFilter ref="A1:O146" xr:uid="{00000000-0009-0000-0100-000002000000}"/>
  <tableColumns count="15">
    <tableColumn id="1" xr3:uid="{00000000-0010-0000-0000-000001000000}" name="orgao" dataDxfId="15"/>
    <tableColumn id="2" xr3:uid="{00000000-0010-0000-0000-000002000000}" name="municipio" dataDxfId="14"/>
    <tableColumn id="3" xr3:uid="{00000000-0010-0000-0000-000003000000}" name="convenente" dataDxfId="13"/>
    <tableColumn id="4" xr3:uid="{00000000-0010-0000-0000-000004000000}" name="numero_convenio" dataDxfId="12"/>
    <tableColumn id="15" xr3:uid="{00000000-0010-0000-0000-00000F000000}" name="ano" dataDxfId="11">
      <calculatedColumnFormula>RIGHT(Tabela2[[#This Row],[numero_convenio]],4)</calculatedColumnFormula>
    </tableColumn>
    <tableColumn id="5" xr3:uid="{00000000-0010-0000-0000-000005000000}" name="plano_interno" dataDxfId="10"/>
    <tableColumn id="6" xr3:uid="{00000000-0010-0000-0000-000006000000}" name="objeto" dataDxfId="9"/>
    <tableColumn id="7" xr3:uid="{00000000-0010-0000-0000-000007000000}" name="grupo_despesa" dataDxfId="8"/>
    <tableColumn id="8" xr3:uid="{00000000-0010-0000-0000-000008000000}" name="data_inicio" dataDxfId="7"/>
    <tableColumn id="9" xr3:uid="{00000000-0010-0000-0000-000009000000}" name="data_fim" dataDxfId="6"/>
    <tableColumn id="10" xr3:uid="{00000000-0010-0000-0000-00000A000000}" name="valor_total" dataDxfId="5"/>
    <tableColumn id="11" xr3:uid="{00000000-0010-0000-0000-00000B000000}" name="valor_orgao" dataDxfId="4"/>
    <tableColumn id="12" xr3:uid="{00000000-0010-0000-0000-00000C000000}" name="valor_contrapartida" dataDxfId="3"/>
    <tableColumn id="13" xr3:uid="{00000000-0010-0000-0000-00000D000000}" name="quantidade_parcelas" dataDxfId="2"/>
    <tableColumn id="14" xr3:uid="{00000000-0010-0000-0000-00000E000000}" name="aditivo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3" displayName="Tabela3" ref="A1:F588" totalsRowShown="0">
  <autoFilter ref="A1:F588" xr:uid="{00000000-0009-0000-0100-000003000000}"/>
  <tableColumns count="6">
    <tableColumn id="1" xr3:uid="{00000000-0010-0000-0200-000001000000}" name="numero_convenio"/>
    <tableColumn id="7" xr3:uid="{00000000-0010-0000-0200-000007000000}" name="numero_parcela" dataDxfId="0"/>
    <tableColumn id="3" xr3:uid="{00000000-0010-0000-0200-000003000000}" name="valor_previsto" dataCellStyle="Vírgula"/>
    <tableColumn id="4" xr3:uid="{00000000-0010-0000-0200-000004000000}" name="valor_pago" dataCellStyle="Vírgula"/>
    <tableColumn id="5" xr3:uid="{00000000-0010-0000-0200-000005000000}" name="data_pagamento"/>
    <tableColumn id="6" xr3:uid="{00000000-0010-0000-0200-000006000000}" name="situaca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0332E0-E88E-4222-9B24-8CCAF8452FE6}" name="Tabela1" displayName="Tabela1" ref="A1:B146" totalsRowShown="0">
  <autoFilter ref="A1:B146" xr:uid="{090332E0-E88E-4222-9B24-8CCAF8452FE6}"/>
  <tableColumns count="2">
    <tableColumn id="1" xr3:uid="{9A7865E5-625D-485B-B5DF-DED254AF0227}" name="numero_convenio"/>
    <tableColumn id="2" xr3:uid="{3D9ED555-DE99-4BE2-A9E2-1B25BAA8FB92}" name="plano_inter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6"/>
  <sheetViews>
    <sheetView tabSelected="1" workbookViewId="0">
      <selection activeCell="A4" sqref="A4"/>
    </sheetView>
  </sheetViews>
  <sheetFormatPr defaultColWidth="14.42578125" defaultRowHeight="15" x14ac:dyDescent="0.25"/>
  <cols>
    <col min="1" max="1" width="8.28515625" style="5" bestFit="1" customWidth="1"/>
    <col min="2" max="2" width="28.28515625" style="5" bestFit="1" customWidth="1"/>
    <col min="3" max="3" width="53.28515625" style="5" bestFit="1" customWidth="1"/>
    <col min="4" max="4" width="19.7109375" style="5" bestFit="1" customWidth="1"/>
    <col min="5" max="5" width="6.5703125" style="5" bestFit="1" customWidth="1"/>
    <col min="6" max="6" width="16" style="5" bestFit="1" customWidth="1"/>
    <col min="7" max="7" width="98.5703125" style="5" customWidth="1"/>
    <col min="8" max="8" width="16.85546875" style="5" bestFit="1" customWidth="1"/>
    <col min="9" max="9" width="13" style="5" bestFit="1" customWidth="1"/>
    <col min="10" max="10" width="11.140625" style="5" bestFit="1" customWidth="1"/>
    <col min="11" max="12" width="16.140625" style="5" bestFit="1" customWidth="1"/>
    <col min="13" max="13" width="20.85546875" style="5" bestFit="1" customWidth="1"/>
    <col min="14" max="14" width="22" style="5" bestFit="1" customWidth="1"/>
    <col min="15" max="15" width="14.42578125" style="5" bestFit="1" customWidth="1"/>
    <col min="16" max="16384" width="14.42578125" style="5"/>
  </cols>
  <sheetData>
    <row r="1" spans="1:15" x14ac:dyDescent="0.25">
      <c r="A1" s="2" t="s">
        <v>615</v>
      </c>
      <c r="B1" s="2" t="s">
        <v>616</v>
      </c>
      <c r="C1" s="2" t="s">
        <v>617</v>
      </c>
      <c r="D1" s="2" t="s">
        <v>618</v>
      </c>
      <c r="E1" s="2" t="s">
        <v>637</v>
      </c>
      <c r="F1" s="2" t="s">
        <v>619</v>
      </c>
      <c r="G1" s="2" t="s">
        <v>620</v>
      </c>
      <c r="H1" s="2" t="s">
        <v>621</v>
      </c>
      <c r="I1" s="3" t="s">
        <v>622</v>
      </c>
      <c r="J1" s="3" t="s">
        <v>623</v>
      </c>
      <c r="K1" s="2" t="s">
        <v>624</v>
      </c>
      <c r="L1" s="2" t="s">
        <v>625</v>
      </c>
      <c r="M1" s="2" t="s">
        <v>626</v>
      </c>
      <c r="N1" s="2" t="s">
        <v>627</v>
      </c>
      <c r="O1" s="4" t="s">
        <v>628</v>
      </c>
    </row>
    <row r="2" spans="1:15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tr">
        <f>RIGHT(Tabela2[[#This Row],[numero_convenio]],4)</f>
        <v>2018</v>
      </c>
      <c r="F2" s="6" t="s">
        <v>4</v>
      </c>
      <c r="G2" s="6" t="s">
        <v>5</v>
      </c>
      <c r="H2" s="7" t="s">
        <v>629</v>
      </c>
      <c r="I2" s="8">
        <v>43243</v>
      </c>
      <c r="J2" s="8">
        <v>46106</v>
      </c>
      <c r="K2" s="9">
        <v>2664650.94</v>
      </c>
      <c r="L2" s="9">
        <v>2558064.9</v>
      </c>
      <c r="M2" s="9">
        <v>106586.04</v>
      </c>
      <c r="N2" s="10">
        <v>6</v>
      </c>
      <c r="O2" s="11">
        <v>0</v>
      </c>
    </row>
    <row r="3" spans="1:15" x14ac:dyDescent="0.25">
      <c r="A3" s="12" t="s">
        <v>0</v>
      </c>
      <c r="B3" s="12" t="s">
        <v>7</v>
      </c>
      <c r="C3" s="12" t="s">
        <v>8</v>
      </c>
      <c r="D3" s="12" t="s">
        <v>9</v>
      </c>
      <c r="E3" s="12" t="str">
        <f>RIGHT(Tabela2[[#This Row],[numero_convenio]],4)</f>
        <v>2018</v>
      </c>
      <c r="F3" s="12" t="s">
        <v>10</v>
      </c>
      <c r="G3" s="12" t="s">
        <v>11</v>
      </c>
      <c r="H3" s="13" t="s">
        <v>629</v>
      </c>
      <c r="I3" s="14">
        <v>43257</v>
      </c>
      <c r="J3" s="14">
        <v>46382</v>
      </c>
      <c r="K3" s="15">
        <v>3474467.3</v>
      </c>
      <c r="L3" s="15">
        <v>3335488.61</v>
      </c>
      <c r="M3" s="15">
        <v>138978.69</v>
      </c>
      <c r="N3" s="12">
        <v>7</v>
      </c>
      <c r="O3" s="16">
        <v>8820.69</v>
      </c>
    </row>
    <row r="4" spans="1:15" x14ac:dyDescent="0.25">
      <c r="A4" s="18" t="s">
        <v>0</v>
      </c>
      <c r="B4" s="18" t="s">
        <v>12</v>
      </c>
      <c r="C4" s="18" t="s">
        <v>13</v>
      </c>
      <c r="D4" s="18" t="s">
        <v>14</v>
      </c>
      <c r="E4" s="18" t="str">
        <f>RIGHT(Tabela2[[#This Row],[numero_convenio]],4)</f>
        <v>2018</v>
      </c>
      <c r="F4" s="18" t="s">
        <v>15</v>
      </c>
      <c r="G4" s="18" t="s">
        <v>16</v>
      </c>
      <c r="H4" s="19" t="s">
        <v>629</v>
      </c>
      <c r="I4" s="8">
        <v>43258</v>
      </c>
      <c r="J4" s="8">
        <v>46144</v>
      </c>
      <c r="K4" s="20">
        <v>2787550.98</v>
      </c>
      <c r="L4" s="20">
        <v>3453499.81</v>
      </c>
      <c r="M4" s="20">
        <v>190141.01</v>
      </c>
      <c r="N4" s="18">
        <v>8</v>
      </c>
      <c r="O4" s="21">
        <v>856089.83</v>
      </c>
    </row>
    <row r="5" spans="1:15" x14ac:dyDescent="0.25">
      <c r="A5" s="12" t="s">
        <v>0</v>
      </c>
      <c r="B5" s="12" t="s">
        <v>17</v>
      </c>
      <c r="C5" s="12" t="s">
        <v>18</v>
      </c>
      <c r="D5" s="12" t="s">
        <v>19</v>
      </c>
      <c r="E5" s="12" t="str">
        <f>RIGHT(Tabela2[[#This Row],[numero_convenio]],4)</f>
        <v>2021</v>
      </c>
      <c r="F5" s="12" t="s">
        <v>20</v>
      </c>
      <c r="G5" s="12" t="s">
        <v>21</v>
      </c>
      <c r="H5" s="13" t="s">
        <v>629</v>
      </c>
      <c r="I5" s="14">
        <v>44560</v>
      </c>
      <c r="J5" s="14">
        <v>46245</v>
      </c>
      <c r="K5" s="15">
        <v>2192548.21</v>
      </c>
      <c r="L5" s="15">
        <v>2082920.8</v>
      </c>
      <c r="M5" s="15">
        <v>109627.41</v>
      </c>
      <c r="N5" s="12">
        <v>7</v>
      </c>
      <c r="O5" s="11">
        <v>0</v>
      </c>
    </row>
    <row r="6" spans="1:15" x14ac:dyDescent="0.25">
      <c r="A6" s="18" t="s">
        <v>0</v>
      </c>
      <c r="B6" s="18" t="s">
        <v>278</v>
      </c>
      <c r="C6" s="18" t="s">
        <v>22</v>
      </c>
      <c r="D6" s="18" t="s">
        <v>23</v>
      </c>
      <c r="E6" s="18" t="str">
        <f>RIGHT(Tabela2[[#This Row],[numero_convenio]],4)</f>
        <v>2022</v>
      </c>
      <c r="F6" s="18" t="s">
        <v>24</v>
      </c>
      <c r="G6" s="18" t="s">
        <v>25</v>
      </c>
      <c r="H6" s="19" t="s">
        <v>629</v>
      </c>
      <c r="I6" s="8">
        <v>44564</v>
      </c>
      <c r="J6" s="8">
        <v>46267</v>
      </c>
      <c r="K6" s="20">
        <v>1660745.01</v>
      </c>
      <c r="L6" s="20">
        <v>1594315.21</v>
      </c>
      <c r="M6" s="20">
        <v>66429.8</v>
      </c>
      <c r="N6" s="18">
        <v>3</v>
      </c>
      <c r="O6" s="21">
        <v>338399.79</v>
      </c>
    </row>
    <row r="7" spans="1:15" x14ac:dyDescent="0.25">
      <c r="A7" s="12" t="s">
        <v>0</v>
      </c>
      <c r="B7" s="12" t="s">
        <v>26</v>
      </c>
      <c r="C7" s="12" t="s">
        <v>27</v>
      </c>
      <c r="D7" s="12" t="s">
        <v>28</v>
      </c>
      <c r="E7" s="12" t="str">
        <f>RIGHT(Tabela2[[#This Row],[numero_convenio]],4)</f>
        <v>2022</v>
      </c>
      <c r="F7" s="12" t="s">
        <v>29</v>
      </c>
      <c r="G7" s="12" t="s">
        <v>30</v>
      </c>
      <c r="H7" s="13" t="s">
        <v>629</v>
      </c>
      <c r="I7" s="14">
        <v>44595</v>
      </c>
      <c r="J7" s="14">
        <v>46137</v>
      </c>
      <c r="K7" s="15">
        <v>992466.38</v>
      </c>
      <c r="L7" s="15">
        <v>942843.06</v>
      </c>
      <c r="M7" s="15">
        <v>49623.32</v>
      </c>
      <c r="N7" s="12">
        <v>4</v>
      </c>
      <c r="O7" s="11">
        <v>0</v>
      </c>
    </row>
    <row r="8" spans="1:15" x14ac:dyDescent="0.25">
      <c r="A8" s="18" t="s">
        <v>0</v>
      </c>
      <c r="B8" s="18" t="s">
        <v>31</v>
      </c>
      <c r="C8" s="18" t="s">
        <v>32</v>
      </c>
      <c r="D8" s="18" t="s">
        <v>33</v>
      </c>
      <c r="E8" s="18" t="str">
        <f>RIGHT(Tabela2[[#This Row],[numero_convenio]],4)</f>
        <v>2022</v>
      </c>
      <c r="F8" s="18" t="s">
        <v>34</v>
      </c>
      <c r="G8" s="18" t="s">
        <v>35</v>
      </c>
      <c r="H8" s="19" t="s">
        <v>629</v>
      </c>
      <c r="I8" s="8">
        <v>44627</v>
      </c>
      <c r="J8" s="8">
        <v>46152</v>
      </c>
      <c r="K8" s="20">
        <v>7887953.3799999999</v>
      </c>
      <c r="L8" s="20">
        <v>7099158.04</v>
      </c>
      <c r="M8" s="20">
        <v>788795.34</v>
      </c>
      <c r="N8" s="18">
        <v>8</v>
      </c>
      <c r="O8" s="11">
        <v>0</v>
      </c>
    </row>
    <row r="9" spans="1:15" x14ac:dyDescent="0.25">
      <c r="A9" s="12" t="s">
        <v>0</v>
      </c>
      <c r="B9" s="12" t="s">
        <v>36</v>
      </c>
      <c r="C9" s="12" t="s">
        <v>37</v>
      </c>
      <c r="D9" s="12" t="s">
        <v>38</v>
      </c>
      <c r="E9" s="12" t="str">
        <f>RIGHT(Tabela2[[#This Row],[numero_convenio]],4)</f>
        <v>2022</v>
      </c>
      <c r="F9" s="12" t="s">
        <v>39</v>
      </c>
      <c r="G9" s="12" t="s">
        <v>40</v>
      </c>
      <c r="H9" s="13" t="s">
        <v>629</v>
      </c>
      <c r="I9" s="14">
        <v>44637</v>
      </c>
      <c r="J9" s="14">
        <v>46101</v>
      </c>
      <c r="K9" s="15">
        <v>2006539.6</v>
      </c>
      <c r="L9" s="15">
        <v>1926278</v>
      </c>
      <c r="M9" s="15">
        <v>80261.600000000006</v>
      </c>
      <c r="N9" s="12">
        <v>4</v>
      </c>
      <c r="O9" s="16">
        <v>86996.72</v>
      </c>
    </row>
    <row r="10" spans="1:15" x14ac:dyDescent="0.25">
      <c r="A10" s="18" t="s">
        <v>0</v>
      </c>
      <c r="B10" s="18" t="s">
        <v>36</v>
      </c>
      <c r="C10" s="18" t="s">
        <v>37</v>
      </c>
      <c r="D10" s="18" t="s">
        <v>41</v>
      </c>
      <c r="E10" s="18" t="str">
        <f>RIGHT(Tabela2[[#This Row],[numero_convenio]],4)</f>
        <v>2022</v>
      </c>
      <c r="F10" s="18" t="s">
        <v>42</v>
      </c>
      <c r="G10" s="18" t="s">
        <v>43</v>
      </c>
      <c r="H10" s="19" t="s">
        <v>629</v>
      </c>
      <c r="I10" s="8">
        <v>44637</v>
      </c>
      <c r="J10" s="8">
        <v>46101</v>
      </c>
      <c r="K10" s="20">
        <v>1521043.2</v>
      </c>
      <c r="L10" s="20">
        <v>1460201.48</v>
      </c>
      <c r="M10" s="20">
        <v>60841.72</v>
      </c>
      <c r="N10" s="18">
        <v>4</v>
      </c>
      <c r="O10" s="21">
        <v>184203.47</v>
      </c>
    </row>
    <row r="11" spans="1:15" x14ac:dyDescent="0.25">
      <c r="A11" s="12" t="s">
        <v>0</v>
      </c>
      <c r="B11" s="12" t="s">
        <v>36</v>
      </c>
      <c r="C11" s="12" t="s">
        <v>37</v>
      </c>
      <c r="D11" s="12" t="s">
        <v>44</v>
      </c>
      <c r="E11" s="12" t="str">
        <f>RIGHT(Tabela2[[#This Row],[numero_convenio]],4)</f>
        <v>2022</v>
      </c>
      <c r="F11" s="12" t="s">
        <v>45</v>
      </c>
      <c r="G11" s="12" t="s">
        <v>46</v>
      </c>
      <c r="H11" s="13" t="s">
        <v>629</v>
      </c>
      <c r="I11" s="14">
        <v>44683</v>
      </c>
      <c r="J11" s="14">
        <v>46147</v>
      </c>
      <c r="K11" s="15">
        <v>3194567.83</v>
      </c>
      <c r="L11" s="15">
        <v>3066785.1</v>
      </c>
      <c r="M11" s="15">
        <v>127782.73</v>
      </c>
      <c r="N11" s="12">
        <v>6</v>
      </c>
      <c r="O11" s="16">
        <v>726074.48</v>
      </c>
    </row>
    <row r="12" spans="1:15" x14ac:dyDescent="0.25">
      <c r="A12" s="18" t="s">
        <v>0</v>
      </c>
      <c r="B12" s="18" t="s">
        <v>47</v>
      </c>
      <c r="C12" s="18" t="s">
        <v>48</v>
      </c>
      <c r="D12" s="18" t="s">
        <v>49</v>
      </c>
      <c r="E12" s="18" t="str">
        <f>RIGHT(Tabela2[[#This Row],[numero_convenio]],4)</f>
        <v>2022</v>
      </c>
      <c r="F12" s="18" t="s">
        <v>50</v>
      </c>
      <c r="G12" s="18" t="s">
        <v>51</v>
      </c>
      <c r="H12" s="19" t="s">
        <v>629</v>
      </c>
      <c r="I12" s="8">
        <v>44706</v>
      </c>
      <c r="J12" s="8">
        <v>46104</v>
      </c>
      <c r="K12" s="20">
        <v>4260742.66</v>
      </c>
      <c r="L12" s="20">
        <v>4047705.53</v>
      </c>
      <c r="M12" s="20">
        <v>213037.13</v>
      </c>
      <c r="N12" s="18">
        <v>3</v>
      </c>
      <c r="O12" s="11">
        <v>0</v>
      </c>
    </row>
    <row r="13" spans="1:15" x14ac:dyDescent="0.25">
      <c r="A13" s="12" t="s">
        <v>0</v>
      </c>
      <c r="B13" s="12" t="s">
        <v>52</v>
      </c>
      <c r="C13" s="12" t="s">
        <v>53</v>
      </c>
      <c r="D13" s="12" t="s">
        <v>54</v>
      </c>
      <c r="E13" s="12" t="str">
        <f>RIGHT(Tabela2[[#This Row],[numero_convenio]],4)</f>
        <v>2022</v>
      </c>
      <c r="F13" s="12" t="s">
        <v>55</v>
      </c>
      <c r="G13" s="12" t="s">
        <v>56</v>
      </c>
      <c r="H13" s="13" t="s">
        <v>629</v>
      </c>
      <c r="I13" s="14">
        <v>44719</v>
      </c>
      <c r="J13" s="14">
        <v>46183</v>
      </c>
      <c r="K13" s="15">
        <v>5383007.7800000003</v>
      </c>
      <c r="L13" s="15">
        <v>5167687.46</v>
      </c>
      <c r="M13" s="15">
        <v>215320.32000000001</v>
      </c>
      <c r="N13" s="12">
        <v>6</v>
      </c>
      <c r="O13" s="11">
        <v>0</v>
      </c>
    </row>
    <row r="14" spans="1:15" x14ac:dyDescent="0.25">
      <c r="A14" s="18" t="s">
        <v>0</v>
      </c>
      <c r="B14" s="18" t="s">
        <v>57</v>
      </c>
      <c r="C14" s="18" t="s">
        <v>58</v>
      </c>
      <c r="D14" s="18" t="s">
        <v>59</v>
      </c>
      <c r="E14" s="18" t="str">
        <f>RIGHT(Tabela2[[#This Row],[numero_convenio]],4)</f>
        <v>2022</v>
      </c>
      <c r="F14" s="18" t="s">
        <v>60</v>
      </c>
      <c r="G14" s="18" t="s">
        <v>61</v>
      </c>
      <c r="H14" s="19" t="s">
        <v>629</v>
      </c>
      <c r="I14" s="8">
        <v>44732</v>
      </c>
      <c r="J14" s="8">
        <v>46372</v>
      </c>
      <c r="K14" s="20">
        <v>11283720.880000001</v>
      </c>
      <c r="L14" s="20">
        <v>10155348.800000001</v>
      </c>
      <c r="M14" s="20">
        <v>1128372.08</v>
      </c>
      <c r="N14" s="18">
        <v>8</v>
      </c>
      <c r="O14" s="11">
        <v>0</v>
      </c>
    </row>
    <row r="15" spans="1:15" x14ac:dyDescent="0.25">
      <c r="A15" s="12" t="s">
        <v>0</v>
      </c>
      <c r="B15" s="12" t="s">
        <v>62</v>
      </c>
      <c r="C15" s="12" t="s">
        <v>63</v>
      </c>
      <c r="D15" s="12" t="s">
        <v>64</v>
      </c>
      <c r="E15" s="12" t="str">
        <f>RIGHT(Tabela2[[#This Row],[numero_convenio]],4)</f>
        <v>2022</v>
      </c>
      <c r="F15" s="12" t="s">
        <v>65</v>
      </c>
      <c r="G15" s="12" t="s">
        <v>66</v>
      </c>
      <c r="H15" s="13" t="s">
        <v>629</v>
      </c>
      <c r="I15" s="14">
        <v>44736</v>
      </c>
      <c r="J15" s="14">
        <v>46200</v>
      </c>
      <c r="K15" s="15">
        <v>3401677.92</v>
      </c>
      <c r="L15" s="15">
        <v>3061510.13</v>
      </c>
      <c r="M15" s="15">
        <v>340167.79</v>
      </c>
      <c r="N15" s="12">
        <v>5</v>
      </c>
      <c r="O15" s="11">
        <v>0</v>
      </c>
    </row>
    <row r="16" spans="1:15" x14ac:dyDescent="0.25">
      <c r="A16" s="18" t="s">
        <v>0</v>
      </c>
      <c r="B16" s="18" t="s">
        <v>67</v>
      </c>
      <c r="C16" s="18" t="s">
        <v>68</v>
      </c>
      <c r="D16" s="18" t="s">
        <v>69</v>
      </c>
      <c r="E16" s="18" t="str">
        <f>RIGHT(Tabela2[[#This Row],[numero_convenio]],4)</f>
        <v>2022</v>
      </c>
      <c r="F16" s="18" t="s">
        <v>70</v>
      </c>
      <c r="G16" s="18" t="s">
        <v>71</v>
      </c>
      <c r="H16" s="19" t="s">
        <v>629</v>
      </c>
      <c r="I16" s="8">
        <v>44735</v>
      </c>
      <c r="J16" s="8">
        <v>46199</v>
      </c>
      <c r="K16" s="20">
        <v>3394138.36</v>
      </c>
      <c r="L16" s="20">
        <v>3224431.44</v>
      </c>
      <c r="M16" s="20">
        <v>169706.92</v>
      </c>
      <c r="N16" s="18">
        <v>4</v>
      </c>
      <c r="O16" s="11">
        <v>0</v>
      </c>
    </row>
    <row r="17" spans="1:15" x14ac:dyDescent="0.25">
      <c r="A17" s="12" t="s">
        <v>0</v>
      </c>
      <c r="B17" s="12" t="s">
        <v>72</v>
      </c>
      <c r="C17" s="12" t="s">
        <v>73</v>
      </c>
      <c r="D17" s="12" t="s">
        <v>74</v>
      </c>
      <c r="E17" s="12" t="str">
        <f>RIGHT(Tabela2[[#This Row],[numero_convenio]],4)</f>
        <v>2022</v>
      </c>
      <c r="F17" s="12" t="s">
        <v>75</v>
      </c>
      <c r="G17" s="12" t="s">
        <v>76</v>
      </c>
      <c r="H17" s="13" t="s">
        <v>629</v>
      </c>
      <c r="I17" s="14">
        <v>44741</v>
      </c>
      <c r="J17" s="14">
        <v>46186</v>
      </c>
      <c r="K17" s="15">
        <v>1537017.65</v>
      </c>
      <c r="L17" s="15">
        <v>1475536.94</v>
      </c>
      <c r="M17" s="15">
        <v>61480.71</v>
      </c>
      <c r="N17" s="12">
        <v>3</v>
      </c>
      <c r="O17" s="16">
        <v>455330.45</v>
      </c>
    </row>
    <row r="18" spans="1:15" x14ac:dyDescent="0.25">
      <c r="A18" s="18" t="s">
        <v>0</v>
      </c>
      <c r="B18" s="18" t="s">
        <v>77</v>
      </c>
      <c r="C18" s="18" t="s">
        <v>78</v>
      </c>
      <c r="D18" s="18" t="s">
        <v>79</v>
      </c>
      <c r="E18" s="18" t="str">
        <f>RIGHT(Tabela2[[#This Row],[numero_convenio]],4)</f>
        <v>2022</v>
      </c>
      <c r="F18" s="18" t="s">
        <v>80</v>
      </c>
      <c r="G18" s="18" t="s">
        <v>81</v>
      </c>
      <c r="H18" s="19" t="s">
        <v>629</v>
      </c>
      <c r="I18" s="8">
        <v>44741</v>
      </c>
      <c r="J18" s="8">
        <v>46390</v>
      </c>
      <c r="K18" s="20">
        <v>4726984.96</v>
      </c>
      <c r="L18" s="20">
        <v>4490635.71</v>
      </c>
      <c r="M18" s="20">
        <v>236349.25</v>
      </c>
      <c r="N18" s="18">
        <v>6</v>
      </c>
      <c r="O18" s="11">
        <v>0</v>
      </c>
    </row>
    <row r="19" spans="1:15" x14ac:dyDescent="0.25">
      <c r="A19" s="12" t="s">
        <v>0</v>
      </c>
      <c r="B19" s="12" t="s">
        <v>82</v>
      </c>
      <c r="C19" s="12" t="s">
        <v>83</v>
      </c>
      <c r="D19" s="12" t="s">
        <v>84</v>
      </c>
      <c r="E19" s="12" t="str">
        <f>RIGHT(Tabela2[[#This Row],[numero_convenio]],4)</f>
        <v>2022</v>
      </c>
      <c r="F19" s="12" t="s">
        <v>85</v>
      </c>
      <c r="G19" s="12" t="s">
        <v>86</v>
      </c>
      <c r="H19" s="13" t="s">
        <v>629</v>
      </c>
      <c r="I19" s="14">
        <v>44741</v>
      </c>
      <c r="J19" s="14">
        <v>46201</v>
      </c>
      <c r="K19" s="15">
        <v>2451480.7200000002</v>
      </c>
      <c r="L19" s="15">
        <v>2353421.4900000002</v>
      </c>
      <c r="M19" s="15">
        <v>98059.23</v>
      </c>
      <c r="N19" s="12">
        <v>4</v>
      </c>
      <c r="O19" s="16">
        <v>244117.89</v>
      </c>
    </row>
    <row r="20" spans="1:15" x14ac:dyDescent="0.25">
      <c r="A20" s="18" t="s">
        <v>0</v>
      </c>
      <c r="B20" s="18" t="s">
        <v>87</v>
      </c>
      <c r="C20" s="18" t="s">
        <v>88</v>
      </c>
      <c r="D20" s="18" t="s">
        <v>89</v>
      </c>
      <c r="E20" s="18" t="str">
        <f>RIGHT(Tabela2[[#This Row],[numero_convenio]],4)</f>
        <v>2022</v>
      </c>
      <c r="F20" s="18" t="s">
        <v>90</v>
      </c>
      <c r="G20" s="18" t="s">
        <v>91</v>
      </c>
      <c r="H20" s="19" t="s">
        <v>629</v>
      </c>
      <c r="I20" s="8">
        <v>44741</v>
      </c>
      <c r="J20" s="8">
        <v>46205</v>
      </c>
      <c r="K20" s="20">
        <v>1913701.8900000001</v>
      </c>
      <c r="L20" s="20">
        <v>1825257.35</v>
      </c>
      <c r="M20" s="20">
        <v>225141.4</v>
      </c>
      <c r="N20" s="18">
        <v>6</v>
      </c>
      <c r="O20" s="21">
        <v>549456.1</v>
      </c>
    </row>
    <row r="21" spans="1:15" x14ac:dyDescent="0.25">
      <c r="A21" s="12" t="s">
        <v>0</v>
      </c>
      <c r="B21" s="12" t="s">
        <v>92</v>
      </c>
      <c r="C21" s="12" t="s">
        <v>93</v>
      </c>
      <c r="D21" s="12" t="s">
        <v>94</v>
      </c>
      <c r="E21" s="12" t="str">
        <f>RIGHT(Tabela2[[#This Row],[numero_convenio]],4)</f>
        <v>2022</v>
      </c>
      <c r="F21" s="12" t="s">
        <v>95</v>
      </c>
      <c r="G21" s="12" t="s">
        <v>96</v>
      </c>
      <c r="H21" s="13" t="s">
        <v>629</v>
      </c>
      <c r="I21" s="14">
        <v>44741</v>
      </c>
      <c r="J21" s="14">
        <v>46236</v>
      </c>
      <c r="K21" s="15">
        <v>2966391.53</v>
      </c>
      <c r="L21" s="15">
        <v>2847735.87</v>
      </c>
      <c r="M21" s="15">
        <v>118655.66</v>
      </c>
      <c r="N21" s="12">
        <v>6</v>
      </c>
      <c r="O21" s="11">
        <v>0</v>
      </c>
    </row>
    <row r="22" spans="1:15" x14ac:dyDescent="0.25">
      <c r="A22" s="18" t="s">
        <v>0</v>
      </c>
      <c r="B22" s="18" t="s">
        <v>92</v>
      </c>
      <c r="C22" s="18" t="s">
        <v>93</v>
      </c>
      <c r="D22" s="18" t="s">
        <v>97</v>
      </c>
      <c r="E22" s="18" t="str">
        <f>RIGHT(Tabela2[[#This Row],[numero_convenio]],4)</f>
        <v>2022</v>
      </c>
      <c r="F22" s="18" t="s">
        <v>98</v>
      </c>
      <c r="G22" s="18" t="s">
        <v>99</v>
      </c>
      <c r="H22" s="19" t="s">
        <v>629</v>
      </c>
      <c r="I22" s="8">
        <v>44741</v>
      </c>
      <c r="J22" s="8">
        <v>46236</v>
      </c>
      <c r="K22" s="20">
        <v>2193352.85</v>
      </c>
      <c r="L22" s="20">
        <v>2105618.7400000002</v>
      </c>
      <c r="M22" s="20">
        <v>87734.11</v>
      </c>
      <c r="N22" s="18">
        <v>6</v>
      </c>
      <c r="O22" s="11">
        <v>0</v>
      </c>
    </row>
    <row r="23" spans="1:15" x14ac:dyDescent="0.25">
      <c r="A23" s="12" t="s">
        <v>0</v>
      </c>
      <c r="B23" s="12" t="s">
        <v>100</v>
      </c>
      <c r="C23" s="12" t="s">
        <v>101</v>
      </c>
      <c r="D23" s="12" t="s">
        <v>102</v>
      </c>
      <c r="E23" s="12" t="str">
        <f>RIGHT(Tabela2[[#This Row],[numero_convenio]],4)</f>
        <v>2022</v>
      </c>
      <c r="F23" s="12" t="s">
        <v>103</v>
      </c>
      <c r="G23" s="12" t="s">
        <v>104</v>
      </c>
      <c r="H23" s="13" t="s">
        <v>629</v>
      </c>
      <c r="I23" s="14">
        <v>44741</v>
      </c>
      <c r="J23" s="14">
        <v>46205</v>
      </c>
      <c r="K23" s="15">
        <v>5701513.4500000002</v>
      </c>
      <c r="L23" s="15">
        <v>5416437.7800000003</v>
      </c>
      <c r="M23" s="15">
        <v>285075.67</v>
      </c>
      <c r="N23" s="12">
        <v>6</v>
      </c>
      <c r="O23" s="16">
        <v>618025.94999999995</v>
      </c>
    </row>
    <row r="24" spans="1:15" x14ac:dyDescent="0.25">
      <c r="A24" s="18" t="s">
        <v>0</v>
      </c>
      <c r="B24" s="18" t="s">
        <v>105</v>
      </c>
      <c r="C24" s="18" t="s">
        <v>106</v>
      </c>
      <c r="D24" s="18" t="s">
        <v>107</v>
      </c>
      <c r="E24" s="18" t="str">
        <f>RIGHT(Tabela2[[#This Row],[numero_convenio]],4)</f>
        <v>2022</v>
      </c>
      <c r="F24" s="18" t="s">
        <v>108</v>
      </c>
      <c r="G24" s="18" t="s">
        <v>109</v>
      </c>
      <c r="H24" s="19" t="s">
        <v>629</v>
      </c>
      <c r="I24" s="8">
        <v>44741</v>
      </c>
      <c r="J24" s="8">
        <v>46267</v>
      </c>
      <c r="K24" s="20">
        <v>7701028.3499999996</v>
      </c>
      <c r="L24" s="20">
        <v>6930925.5099999998</v>
      </c>
      <c r="M24" s="20">
        <v>770102.84</v>
      </c>
      <c r="N24" s="18">
        <v>6</v>
      </c>
      <c r="O24" s="11">
        <v>0</v>
      </c>
    </row>
    <row r="25" spans="1:15" x14ac:dyDescent="0.25">
      <c r="A25" s="12" t="s">
        <v>0</v>
      </c>
      <c r="B25" s="12" t="s">
        <v>110</v>
      </c>
      <c r="C25" s="12" t="s">
        <v>111</v>
      </c>
      <c r="D25" s="12" t="s">
        <v>112</v>
      </c>
      <c r="E25" s="12" t="str">
        <f>RIGHT(Tabela2[[#This Row],[numero_convenio]],4)</f>
        <v>2022</v>
      </c>
      <c r="F25" s="12" t="s">
        <v>113</v>
      </c>
      <c r="G25" s="12" t="s">
        <v>114</v>
      </c>
      <c r="H25" s="13" t="s">
        <v>629</v>
      </c>
      <c r="I25" s="14">
        <v>44742</v>
      </c>
      <c r="J25" s="14">
        <v>46179</v>
      </c>
      <c r="K25" s="15">
        <v>4464711.4000000004</v>
      </c>
      <c r="L25" s="15">
        <v>4241475.83</v>
      </c>
      <c r="M25" s="15">
        <v>223235.57</v>
      </c>
      <c r="N25" s="12">
        <v>6</v>
      </c>
      <c r="O25" s="16">
        <v>903041.07</v>
      </c>
    </row>
    <row r="26" spans="1:15" x14ac:dyDescent="0.25">
      <c r="A26" s="18" t="s">
        <v>0</v>
      </c>
      <c r="B26" s="18" t="s">
        <v>115</v>
      </c>
      <c r="C26" s="18" t="s">
        <v>116</v>
      </c>
      <c r="D26" s="18" t="s">
        <v>117</v>
      </c>
      <c r="E26" s="18" t="str">
        <f>RIGHT(Tabela2[[#This Row],[numero_convenio]],4)</f>
        <v>2022</v>
      </c>
      <c r="F26" s="18" t="s">
        <v>118</v>
      </c>
      <c r="G26" s="18" t="s">
        <v>119</v>
      </c>
      <c r="H26" s="19" t="s">
        <v>629</v>
      </c>
      <c r="I26" s="8">
        <v>44742</v>
      </c>
      <c r="J26" s="8">
        <v>46389</v>
      </c>
      <c r="K26" s="20">
        <v>4413308.3</v>
      </c>
      <c r="L26" s="20">
        <v>4192642.88</v>
      </c>
      <c r="M26" s="20">
        <v>220665.42</v>
      </c>
      <c r="N26" s="18">
        <v>6</v>
      </c>
      <c r="O26" s="11">
        <v>0</v>
      </c>
    </row>
    <row r="27" spans="1:15" x14ac:dyDescent="0.25">
      <c r="A27" s="12" t="s">
        <v>0</v>
      </c>
      <c r="B27" s="12" t="s">
        <v>120</v>
      </c>
      <c r="C27" s="12" t="s">
        <v>121</v>
      </c>
      <c r="D27" s="12" t="s">
        <v>122</v>
      </c>
      <c r="E27" s="12" t="str">
        <f>RIGHT(Tabela2[[#This Row],[numero_convenio]],4)</f>
        <v>2022</v>
      </c>
      <c r="F27" s="12" t="s">
        <v>123</v>
      </c>
      <c r="G27" s="12" t="s">
        <v>124</v>
      </c>
      <c r="H27" s="13" t="s">
        <v>629</v>
      </c>
      <c r="I27" s="14">
        <v>44742</v>
      </c>
      <c r="J27" s="14">
        <v>46207</v>
      </c>
      <c r="K27" s="15">
        <v>4464711.4000000004</v>
      </c>
      <c r="L27" s="15">
        <v>1129617.33</v>
      </c>
      <c r="M27" s="15">
        <v>47067.39</v>
      </c>
      <c r="N27" s="12">
        <v>4</v>
      </c>
      <c r="O27" s="16">
        <v>405127.96</v>
      </c>
    </row>
    <row r="28" spans="1:15" x14ac:dyDescent="0.25">
      <c r="A28" s="18" t="s">
        <v>0</v>
      </c>
      <c r="B28" s="18" t="s">
        <v>125</v>
      </c>
      <c r="C28" s="18" t="s">
        <v>126</v>
      </c>
      <c r="D28" s="18" t="s">
        <v>127</v>
      </c>
      <c r="E28" s="18" t="str">
        <f>RIGHT(Tabela2[[#This Row],[numero_convenio]],4)</f>
        <v>2022</v>
      </c>
      <c r="F28" s="18" t="s">
        <v>128</v>
      </c>
      <c r="G28" s="18" t="s">
        <v>129</v>
      </c>
      <c r="H28" s="19" t="s">
        <v>629</v>
      </c>
      <c r="I28" s="8">
        <v>44743</v>
      </c>
      <c r="J28" s="8">
        <v>46207</v>
      </c>
      <c r="K28" s="20">
        <v>2095890.51</v>
      </c>
      <c r="L28" s="20">
        <v>2012054.89</v>
      </c>
      <c r="M28" s="20">
        <v>83835.62</v>
      </c>
      <c r="N28" s="18">
        <v>6</v>
      </c>
      <c r="O28" s="11">
        <v>0</v>
      </c>
    </row>
    <row r="29" spans="1:15" x14ac:dyDescent="0.25">
      <c r="A29" s="12" t="s">
        <v>0</v>
      </c>
      <c r="B29" s="12" t="s">
        <v>130</v>
      </c>
      <c r="C29" s="12" t="s">
        <v>131</v>
      </c>
      <c r="D29" s="12" t="s">
        <v>132</v>
      </c>
      <c r="E29" s="12" t="str">
        <f>RIGHT(Tabela2[[#This Row],[numero_convenio]],4)</f>
        <v>2022</v>
      </c>
      <c r="F29" s="12" t="s">
        <v>133</v>
      </c>
      <c r="G29" s="12" t="s">
        <v>134</v>
      </c>
      <c r="H29" s="13" t="s">
        <v>629</v>
      </c>
      <c r="I29" s="14">
        <v>44743</v>
      </c>
      <c r="J29" s="14">
        <v>46299</v>
      </c>
      <c r="K29" s="15">
        <v>10889479.699999999</v>
      </c>
      <c r="L29" s="15">
        <v>10453900.51</v>
      </c>
      <c r="M29" s="15">
        <v>435579.19</v>
      </c>
      <c r="N29" s="12">
        <v>6</v>
      </c>
      <c r="O29" s="11">
        <v>0</v>
      </c>
    </row>
    <row r="30" spans="1:15" x14ac:dyDescent="0.25">
      <c r="A30" s="18" t="s">
        <v>0</v>
      </c>
      <c r="B30" s="18" t="s">
        <v>135</v>
      </c>
      <c r="C30" s="18" t="s">
        <v>136</v>
      </c>
      <c r="D30" s="18" t="s">
        <v>137</v>
      </c>
      <c r="E30" s="18" t="str">
        <f>RIGHT(Tabela2[[#This Row],[numero_convenio]],4)</f>
        <v>2022</v>
      </c>
      <c r="F30" s="18" t="s">
        <v>138</v>
      </c>
      <c r="G30" s="18" t="s">
        <v>139</v>
      </c>
      <c r="H30" s="19" t="s">
        <v>629</v>
      </c>
      <c r="I30" s="8">
        <v>44743</v>
      </c>
      <c r="J30" s="8">
        <v>46082</v>
      </c>
      <c r="K30" s="20">
        <v>3394304.27</v>
      </c>
      <c r="L30" s="20">
        <v>3258532.1</v>
      </c>
      <c r="M30" s="20">
        <v>135772.17000000001</v>
      </c>
      <c r="N30" s="18">
        <v>4</v>
      </c>
      <c r="O30" s="11">
        <v>0</v>
      </c>
    </row>
    <row r="31" spans="1:15" x14ac:dyDescent="0.25">
      <c r="A31" s="12" t="s">
        <v>0</v>
      </c>
      <c r="B31" s="12" t="s">
        <v>105</v>
      </c>
      <c r="C31" s="12" t="s">
        <v>106</v>
      </c>
      <c r="D31" s="12" t="s">
        <v>140</v>
      </c>
      <c r="E31" s="12" t="str">
        <f>RIGHT(Tabela2[[#This Row],[numero_convenio]],4)</f>
        <v>2022</v>
      </c>
      <c r="F31" s="12" t="s">
        <v>141</v>
      </c>
      <c r="G31" s="12" t="s">
        <v>142</v>
      </c>
      <c r="H31" s="13" t="s">
        <v>629</v>
      </c>
      <c r="I31" s="14">
        <v>44742</v>
      </c>
      <c r="J31" s="14">
        <v>46140</v>
      </c>
      <c r="K31" s="15">
        <v>4902270.55</v>
      </c>
      <c r="L31" s="15">
        <v>4412043.49</v>
      </c>
      <c r="M31" s="15">
        <v>490227.06</v>
      </c>
      <c r="N31" s="12">
        <v>6</v>
      </c>
      <c r="O31" s="11">
        <v>0</v>
      </c>
    </row>
    <row r="32" spans="1:15" x14ac:dyDescent="0.25">
      <c r="A32" s="18" t="s">
        <v>0</v>
      </c>
      <c r="B32" s="18" t="s">
        <v>143</v>
      </c>
      <c r="C32" s="18" t="s">
        <v>144</v>
      </c>
      <c r="D32" s="18" t="s">
        <v>145</v>
      </c>
      <c r="E32" s="18" t="str">
        <f>RIGHT(Tabela2[[#This Row],[numero_convenio]],4)</f>
        <v>2022</v>
      </c>
      <c r="F32" s="18" t="s">
        <v>146</v>
      </c>
      <c r="G32" s="18" t="s">
        <v>147</v>
      </c>
      <c r="H32" s="19" t="s">
        <v>629</v>
      </c>
      <c r="I32" s="8">
        <v>44743</v>
      </c>
      <c r="J32" s="8">
        <v>46299</v>
      </c>
      <c r="K32" s="20">
        <v>5848594.5899999999</v>
      </c>
      <c r="L32" s="20">
        <v>5614650.8099999996</v>
      </c>
      <c r="M32" s="20">
        <v>233943.78</v>
      </c>
      <c r="N32" s="18">
        <v>4</v>
      </c>
      <c r="O32" s="11">
        <v>0</v>
      </c>
    </row>
    <row r="33" spans="1:15" x14ac:dyDescent="0.25">
      <c r="A33" s="12" t="s">
        <v>0</v>
      </c>
      <c r="B33" s="12" t="s">
        <v>148</v>
      </c>
      <c r="C33" s="12" t="s">
        <v>149</v>
      </c>
      <c r="D33" s="12" t="s">
        <v>150</v>
      </c>
      <c r="E33" s="12" t="str">
        <f>RIGHT(Tabela2[[#This Row],[numero_convenio]],4)</f>
        <v>2022</v>
      </c>
      <c r="F33" s="12" t="s">
        <v>151</v>
      </c>
      <c r="G33" s="12" t="s">
        <v>152</v>
      </c>
      <c r="H33" s="13" t="s">
        <v>629</v>
      </c>
      <c r="I33" s="14">
        <v>44743</v>
      </c>
      <c r="J33" s="14">
        <v>46201</v>
      </c>
      <c r="K33" s="15">
        <v>2501890.92</v>
      </c>
      <c r="L33" s="15">
        <v>2401815.2799999998</v>
      </c>
      <c r="M33" s="15">
        <v>100075.64</v>
      </c>
      <c r="N33" s="12">
        <v>3</v>
      </c>
      <c r="O33" s="16">
        <v>1124455.6299999999</v>
      </c>
    </row>
    <row r="34" spans="1:15" x14ac:dyDescent="0.25">
      <c r="A34" s="18" t="s">
        <v>0</v>
      </c>
      <c r="B34" s="18" t="s">
        <v>153</v>
      </c>
      <c r="C34" s="18" t="s">
        <v>154</v>
      </c>
      <c r="D34" s="18" t="s">
        <v>155</v>
      </c>
      <c r="E34" s="18" t="str">
        <f>RIGHT(Tabela2[[#This Row],[numero_convenio]],4)</f>
        <v>2022</v>
      </c>
      <c r="F34" s="18" t="s">
        <v>156</v>
      </c>
      <c r="G34" s="18" t="s">
        <v>157</v>
      </c>
      <c r="H34" s="19" t="s">
        <v>629</v>
      </c>
      <c r="I34" s="8">
        <v>44743</v>
      </c>
      <c r="J34" s="8">
        <v>46201</v>
      </c>
      <c r="K34" s="20">
        <v>5030725.1100000003</v>
      </c>
      <c r="L34" s="20">
        <v>4829496.1100000003</v>
      </c>
      <c r="M34" s="20">
        <v>201229</v>
      </c>
      <c r="N34" s="18">
        <v>3</v>
      </c>
      <c r="O34" s="16">
        <v>718709.91</v>
      </c>
    </row>
    <row r="35" spans="1:15" x14ac:dyDescent="0.25">
      <c r="A35" s="12" t="s">
        <v>0</v>
      </c>
      <c r="B35" s="12" t="s">
        <v>158</v>
      </c>
      <c r="C35" s="12" t="s">
        <v>159</v>
      </c>
      <c r="D35" s="12" t="s">
        <v>160</v>
      </c>
      <c r="E35" s="12" t="str">
        <f>RIGHT(Tabela2[[#This Row],[numero_convenio]],4)</f>
        <v>2022</v>
      </c>
      <c r="F35" s="12" t="s">
        <v>161</v>
      </c>
      <c r="G35" s="12" t="s">
        <v>162</v>
      </c>
      <c r="H35" s="13" t="s">
        <v>629</v>
      </c>
      <c r="I35" s="14">
        <v>44743</v>
      </c>
      <c r="J35" s="14">
        <v>46199</v>
      </c>
      <c r="K35" s="15">
        <v>2741042.61</v>
      </c>
      <c r="L35" s="15">
        <v>2631400.91</v>
      </c>
      <c r="M35" s="15">
        <v>109641.7</v>
      </c>
      <c r="N35" s="12">
        <v>4</v>
      </c>
      <c r="O35" s="16">
        <v>1072834.6000000001</v>
      </c>
    </row>
    <row r="36" spans="1:15" x14ac:dyDescent="0.25">
      <c r="A36" s="18" t="s">
        <v>0</v>
      </c>
      <c r="B36" s="18" t="s">
        <v>7</v>
      </c>
      <c r="C36" s="18" t="s">
        <v>8</v>
      </c>
      <c r="D36" s="18" t="s">
        <v>163</v>
      </c>
      <c r="E36" s="18" t="str">
        <f>RIGHT(Tabela2[[#This Row],[numero_convenio]],4)</f>
        <v>2022</v>
      </c>
      <c r="F36" s="18" t="s">
        <v>164</v>
      </c>
      <c r="G36" s="18" t="s">
        <v>165</v>
      </c>
      <c r="H36" s="19" t="s">
        <v>629</v>
      </c>
      <c r="I36" s="8">
        <v>44743</v>
      </c>
      <c r="J36" s="8">
        <v>46299</v>
      </c>
      <c r="K36" s="20">
        <v>1496018.94</v>
      </c>
      <c r="L36" s="20">
        <v>1436178.18</v>
      </c>
      <c r="M36" s="20">
        <v>59840.76</v>
      </c>
      <c r="N36" s="18">
        <v>2</v>
      </c>
      <c r="O36" s="11">
        <v>0</v>
      </c>
    </row>
    <row r="37" spans="1:15" x14ac:dyDescent="0.25">
      <c r="A37" s="12" t="s">
        <v>0</v>
      </c>
      <c r="B37" s="12" t="s">
        <v>166</v>
      </c>
      <c r="C37" s="12" t="s">
        <v>167</v>
      </c>
      <c r="D37" s="12" t="s">
        <v>168</v>
      </c>
      <c r="E37" s="12" t="str">
        <f>RIGHT(Tabela2[[#This Row],[numero_convenio]],4)</f>
        <v>2023</v>
      </c>
      <c r="F37" s="22" t="s">
        <v>169</v>
      </c>
      <c r="G37" s="12" t="s">
        <v>170</v>
      </c>
      <c r="H37" s="13" t="s">
        <v>629</v>
      </c>
      <c r="I37" s="14">
        <v>45272</v>
      </c>
      <c r="J37" s="14">
        <v>46094</v>
      </c>
      <c r="K37" s="15">
        <v>6733199.7699999996</v>
      </c>
      <c r="L37" s="15">
        <v>6463871.7800000003</v>
      </c>
      <c r="M37" s="15">
        <v>269327.99</v>
      </c>
      <c r="N37" s="12">
        <v>3</v>
      </c>
      <c r="O37" s="16">
        <v>1376454.79</v>
      </c>
    </row>
    <row r="38" spans="1:15" x14ac:dyDescent="0.25">
      <c r="A38" s="18" t="s">
        <v>0</v>
      </c>
      <c r="B38" s="18" t="s">
        <v>115</v>
      </c>
      <c r="C38" s="18" t="s">
        <v>116</v>
      </c>
      <c r="D38" s="18" t="s">
        <v>171</v>
      </c>
      <c r="E38" s="18" t="str">
        <f>RIGHT(Tabela2[[#This Row],[numero_convenio]],4)</f>
        <v>2023</v>
      </c>
      <c r="F38" s="23" t="s">
        <v>172</v>
      </c>
      <c r="G38" s="18" t="s">
        <v>173</v>
      </c>
      <c r="H38" s="19" t="s">
        <v>629</v>
      </c>
      <c r="I38" s="8">
        <v>45272</v>
      </c>
      <c r="J38" s="8">
        <v>46094</v>
      </c>
      <c r="K38" s="20">
        <v>6733199.7699999996</v>
      </c>
      <c r="L38" s="20">
        <v>6329207.79</v>
      </c>
      <c r="M38" s="20">
        <v>403991.98</v>
      </c>
      <c r="N38" s="18">
        <v>3</v>
      </c>
      <c r="O38" s="11">
        <v>0</v>
      </c>
    </row>
    <row r="39" spans="1:15" x14ac:dyDescent="0.25">
      <c r="A39" s="12" t="s">
        <v>0</v>
      </c>
      <c r="B39" s="12" t="s">
        <v>174</v>
      </c>
      <c r="C39" s="12" t="s">
        <v>175</v>
      </c>
      <c r="D39" s="12" t="s">
        <v>176</v>
      </c>
      <c r="E39" s="12" t="str">
        <f>RIGHT(Tabela2[[#This Row],[numero_convenio]],4)</f>
        <v>2023</v>
      </c>
      <c r="F39" s="22" t="s">
        <v>177</v>
      </c>
      <c r="G39" s="12" t="s">
        <v>178</v>
      </c>
      <c r="H39" s="13" t="s">
        <v>629</v>
      </c>
      <c r="I39" s="14">
        <v>45254</v>
      </c>
      <c r="J39" s="14">
        <v>46078</v>
      </c>
      <c r="K39" s="15">
        <v>6733199.7699999996</v>
      </c>
      <c r="L39" s="15">
        <v>6396539.7800000003</v>
      </c>
      <c r="M39" s="15">
        <v>336659.99</v>
      </c>
      <c r="N39" s="12">
        <v>3</v>
      </c>
      <c r="O39" s="11">
        <v>0</v>
      </c>
    </row>
    <row r="40" spans="1:15" x14ac:dyDescent="0.25">
      <c r="A40" s="18" t="s">
        <v>0</v>
      </c>
      <c r="B40" s="18" t="s">
        <v>179</v>
      </c>
      <c r="C40" s="18" t="s">
        <v>180</v>
      </c>
      <c r="D40" s="18" t="s">
        <v>181</v>
      </c>
      <c r="E40" s="18" t="str">
        <f>RIGHT(Tabela2[[#This Row],[numero_convenio]],4)</f>
        <v>2023</v>
      </c>
      <c r="F40" s="18" t="s">
        <v>182</v>
      </c>
      <c r="G40" s="18" t="s">
        <v>183</v>
      </c>
      <c r="H40" s="19" t="s">
        <v>629</v>
      </c>
      <c r="I40" s="8">
        <v>45272</v>
      </c>
      <c r="J40" s="8">
        <v>46094</v>
      </c>
      <c r="K40" s="20">
        <v>6733199.7699999996</v>
      </c>
      <c r="L40" s="20">
        <v>6329207.79</v>
      </c>
      <c r="M40" s="20">
        <v>403991.98</v>
      </c>
      <c r="N40" s="18">
        <v>3</v>
      </c>
      <c r="O40" s="11">
        <v>0</v>
      </c>
    </row>
    <row r="41" spans="1:15" x14ac:dyDescent="0.25">
      <c r="A41" s="12" t="s">
        <v>0</v>
      </c>
      <c r="B41" s="12" t="s">
        <v>184</v>
      </c>
      <c r="C41" s="12" t="s">
        <v>185</v>
      </c>
      <c r="D41" s="12" t="s">
        <v>186</v>
      </c>
      <c r="E41" s="12" t="str">
        <f>RIGHT(Tabela2[[#This Row],[numero_convenio]],4)</f>
        <v>2023</v>
      </c>
      <c r="F41" s="22" t="s">
        <v>187</v>
      </c>
      <c r="G41" s="12" t="s">
        <v>188</v>
      </c>
      <c r="H41" s="13" t="s">
        <v>629</v>
      </c>
      <c r="I41" s="14">
        <v>45254</v>
      </c>
      <c r="J41" s="14">
        <v>46078</v>
      </c>
      <c r="K41" s="15">
        <v>6733199.7699999996</v>
      </c>
      <c r="L41" s="15">
        <v>6463871.7800000003</v>
      </c>
      <c r="M41" s="15">
        <v>269327.99</v>
      </c>
      <c r="N41" s="12">
        <v>3</v>
      </c>
      <c r="O41" s="11">
        <v>0</v>
      </c>
    </row>
    <row r="42" spans="1:15" x14ac:dyDescent="0.25">
      <c r="A42" s="18" t="s">
        <v>0</v>
      </c>
      <c r="B42" s="18" t="s">
        <v>189</v>
      </c>
      <c r="C42" s="18" t="s">
        <v>190</v>
      </c>
      <c r="D42" s="18" t="s">
        <v>191</v>
      </c>
      <c r="E42" s="18" t="str">
        <f>RIGHT(Tabela2[[#This Row],[numero_convenio]],4)</f>
        <v>2023</v>
      </c>
      <c r="F42" s="18" t="s">
        <v>192</v>
      </c>
      <c r="G42" s="18" t="s">
        <v>193</v>
      </c>
      <c r="H42" s="19" t="s">
        <v>629</v>
      </c>
      <c r="I42" s="8">
        <v>45254</v>
      </c>
      <c r="J42" s="8">
        <v>46138</v>
      </c>
      <c r="K42" s="20">
        <v>6766535.0899999999</v>
      </c>
      <c r="L42" s="20">
        <v>6495873.6900000004</v>
      </c>
      <c r="M42" s="20">
        <v>270661.40000000002</v>
      </c>
      <c r="N42" s="18">
        <v>3</v>
      </c>
      <c r="O42" s="11">
        <v>0</v>
      </c>
    </row>
    <row r="43" spans="1:15" x14ac:dyDescent="0.25">
      <c r="A43" s="12" t="s">
        <v>0</v>
      </c>
      <c r="B43" s="12" t="s">
        <v>120</v>
      </c>
      <c r="C43" s="12" t="s">
        <v>121</v>
      </c>
      <c r="D43" s="12" t="s">
        <v>194</v>
      </c>
      <c r="E43" s="12" t="str">
        <f>RIGHT(Tabela2[[#This Row],[numero_convenio]],4)</f>
        <v>2023</v>
      </c>
      <c r="F43" s="12" t="s">
        <v>195</v>
      </c>
      <c r="G43" s="12" t="s">
        <v>196</v>
      </c>
      <c r="H43" s="13" t="s">
        <v>629</v>
      </c>
      <c r="I43" s="14">
        <v>45254</v>
      </c>
      <c r="J43" s="14">
        <v>46078</v>
      </c>
      <c r="K43" s="15">
        <v>6733199.7699999996</v>
      </c>
      <c r="L43" s="15">
        <v>6463871.7699999996</v>
      </c>
      <c r="M43" s="15">
        <v>269328</v>
      </c>
      <c r="N43" s="12">
        <v>3</v>
      </c>
      <c r="O43" s="11">
        <v>0</v>
      </c>
    </row>
    <row r="44" spans="1:15" x14ac:dyDescent="0.25">
      <c r="A44" s="18" t="s">
        <v>0</v>
      </c>
      <c r="B44" s="18" t="s">
        <v>197</v>
      </c>
      <c r="C44" s="18" t="s">
        <v>198</v>
      </c>
      <c r="D44" s="18" t="s">
        <v>199</v>
      </c>
      <c r="E44" s="18" t="str">
        <f>RIGHT(Tabela2[[#This Row],[numero_convenio]],4)</f>
        <v>2023</v>
      </c>
      <c r="F44" s="23" t="s">
        <v>200</v>
      </c>
      <c r="G44" s="18" t="s">
        <v>201</v>
      </c>
      <c r="H44" s="19" t="s">
        <v>629</v>
      </c>
      <c r="I44" s="8">
        <v>45272</v>
      </c>
      <c r="J44" s="8">
        <v>46094</v>
      </c>
      <c r="K44" s="20">
        <v>6733199.7699999996</v>
      </c>
      <c r="L44" s="20">
        <v>6396539.7800000003</v>
      </c>
      <c r="M44" s="20">
        <v>336659.99</v>
      </c>
      <c r="N44" s="18">
        <v>3</v>
      </c>
      <c r="O44" s="11">
        <v>0</v>
      </c>
    </row>
    <row r="45" spans="1:15" x14ac:dyDescent="0.25">
      <c r="A45" s="12" t="s">
        <v>0</v>
      </c>
      <c r="B45" s="12" t="s">
        <v>202</v>
      </c>
      <c r="C45" s="12" t="s">
        <v>203</v>
      </c>
      <c r="D45" s="12" t="s">
        <v>204</v>
      </c>
      <c r="E45" s="12" t="str">
        <f>RIGHT(Tabela2[[#This Row],[numero_convenio]],4)</f>
        <v>2023</v>
      </c>
      <c r="F45" s="22" t="s">
        <v>205</v>
      </c>
      <c r="G45" s="12" t="s">
        <v>206</v>
      </c>
      <c r="H45" s="13" t="s">
        <v>629</v>
      </c>
      <c r="I45" s="14">
        <v>45272</v>
      </c>
      <c r="J45" s="14">
        <v>46094</v>
      </c>
      <c r="K45" s="15">
        <v>6733199.7699999996</v>
      </c>
      <c r="L45" s="15">
        <v>6059879.7699999996</v>
      </c>
      <c r="M45" s="15">
        <v>673320</v>
      </c>
      <c r="N45" s="12">
        <v>3</v>
      </c>
      <c r="O45" s="11">
        <v>0</v>
      </c>
    </row>
    <row r="46" spans="1:15" x14ac:dyDescent="0.25">
      <c r="A46" s="18" t="s">
        <v>0</v>
      </c>
      <c r="B46" s="18" t="s">
        <v>207</v>
      </c>
      <c r="C46" s="18" t="s">
        <v>208</v>
      </c>
      <c r="D46" s="18" t="s">
        <v>209</v>
      </c>
      <c r="E46" s="18" t="str">
        <f>RIGHT(Tabela2[[#This Row],[numero_convenio]],4)</f>
        <v>2023</v>
      </c>
      <c r="F46" s="23" t="s">
        <v>210</v>
      </c>
      <c r="G46" s="18" t="s">
        <v>211</v>
      </c>
      <c r="H46" s="19" t="s">
        <v>629</v>
      </c>
      <c r="I46" s="8">
        <v>45272</v>
      </c>
      <c r="J46" s="8">
        <v>46094</v>
      </c>
      <c r="K46" s="20">
        <v>6733199.7699999996</v>
      </c>
      <c r="L46" s="20">
        <v>6463871.7999999998</v>
      </c>
      <c r="M46" s="20">
        <v>269327.96999999997</v>
      </c>
      <c r="N46" s="18">
        <v>3</v>
      </c>
      <c r="O46" s="11">
        <v>0</v>
      </c>
    </row>
    <row r="47" spans="1:15" x14ac:dyDescent="0.25">
      <c r="A47" s="12" t="s">
        <v>0</v>
      </c>
      <c r="B47" s="12" t="s">
        <v>212</v>
      </c>
      <c r="C47" s="12" t="s">
        <v>213</v>
      </c>
      <c r="D47" s="12" t="s">
        <v>214</v>
      </c>
      <c r="E47" s="12" t="str">
        <f>RIGHT(Tabela2[[#This Row],[numero_convenio]],4)</f>
        <v>2023</v>
      </c>
      <c r="F47" s="22" t="s">
        <v>215</v>
      </c>
      <c r="G47" s="12" t="s">
        <v>216</v>
      </c>
      <c r="H47" s="13" t="s">
        <v>629</v>
      </c>
      <c r="I47" s="14">
        <v>45272</v>
      </c>
      <c r="J47" s="14">
        <v>46186</v>
      </c>
      <c r="K47" s="15">
        <v>6766535.0899999999</v>
      </c>
      <c r="L47" s="15">
        <v>6495873.6900000004</v>
      </c>
      <c r="M47" s="15">
        <v>270661.40000000002</v>
      </c>
      <c r="N47" s="12">
        <v>3</v>
      </c>
      <c r="O47" s="11">
        <v>0</v>
      </c>
    </row>
    <row r="48" spans="1:15" x14ac:dyDescent="0.25">
      <c r="A48" s="18" t="s">
        <v>0</v>
      </c>
      <c r="B48" s="18" t="s">
        <v>640</v>
      </c>
      <c r="C48" s="18" t="s">
        <v>217</v>
      </c>
      <c r="D48" s="18" t="s">
        <v>218</v>
      </c>
      <c r="E48" s="18" t="str">
        <f>RIGHT(Tabela2[[#This Row],[numero_convenio]],4)</f>
        <v>2023</v>
      </c>
      <c r="F48" s="23" t="s">
        <v>219</v>
      </c>
      <c r="G48" s="18" t="s">
        <v>220</v>
      </c>
      <c r="H48" s="19" t="s">
        <v>629</v>
      </c>
      <c r="I48" s="8">
        <v>45272</v>
      </c>
      <c r="J48" s="8">
        <v>46094</v>
      </c>
      <c r="K48" s="20">
        <v>6733199.7699999996</v>
      </c>
      <c r="L48" s="20">
        <v>6502271.7800000003</v>
      </c>
      <c r="M48" s="20">
        <v>270927.99</v>
      </c>
      <c r="N48" s="18">
        <v>3</v>
      </c>
      <c r="O48" s="16">
        <v>575870.16</v>
      </c>
    </row>
    <row r="49" spans="1:15" x14ac:dyDescent="0.25">
      <c r="A49" s="12" t="s">
        <v>0</v>
      </c>
      <c r="B49" s="12" t="s">
        <v>221</v>
      </c>
      <c r="C49" s="12" t="s">
        <v>222</v>
      </c>
      <c r="D49" s="12" t="s">
        <v>223</v>
      </c>
      <c r="E49" s="12" t="str">
        <f>RIGHT(Tabela2[[#This Row],[numero_convenio]],4)</f>
        <v>2023</v>
      </c>
      <c r="F49" s="22" t="s">
        <v>224</v>
      </c>
      <c r="G49" s="12" t="s">
        <v>225</v>
      </c>
      <c r="H49" s="13" t="s">
        <v>629</v>
      </c>
      <c r="I49" s="14">
        <v>45254</v>
      </c>
      <c r="J49" s="14">
        <v>46078</v>
      </c>
      <c r="K49" s="15">
        <v>6733199.7699999996</v>
      </c>
      <c r="L49" s="15">
        <v>6396539.7800000003</v>
      </c>
      <c r="M49" s="15">
        <v>336659.99</v>
      </c>
      <c r="N49" s="12">
        <v>3</v>
      </c>
      <c r="O49" s="11">
        <v>0</v>
      </c>
    </row>
    <row r="50" spans="1:15" x14ac:dyDescent="0.25">
      <c r="A50" s="18" t="s">
        <v>0</v>
      </c>
      <c r="B50" s="18" t="s">
        <v>31</v>
      </c>
      <c r="C50" s="18" t="s">
        <v>32</v>
      </c>
      <c r="D50" s="18" t="s">
        <v>226</v>
      </c>
      <c r="E50" s="18" t="str">
        <f>RIGHT(Tabela2[[#This Row],[numero_convenio]],4)</f>
        <v>2023</v>
      </c>
      <c r="F50" s="23" t="s">
        <v>227</v>
      </c>
      <c r="G50" s="18" t="s">
        <v>228</v>
      </c>
      <c r="H50" s="19" t="s">
        <v>629</v>
      </c>
      <c r="I50" s="8">
        <v>45272</v>
      </c>
      <c r="J50" s="8">
        <v>46186</v>
      </c>
      <c r="K50" s="20">
        <v>6866541.0599999996</v>
      </c>
      <c r="L50" s="20">
        <v>6179886.9500000002</v>
      </c>
      <c r="M50" s="20">
        <v>686654.11</v>
      </c>
      <c r="N50" s="18">
        <v>3</v>
      </c>
      <c r="O50" s="11">
        <v>0</v>
      </c>
    </row>
    <row r="51" spans="1:15" x14ac:dyDescent="0.25">
      <c r="A51" s="12" t="s">
        <v>0</v>
      </c>
      <c r="B51" s="12" t="s">
        <v>229</v>
      </c>
      <c r="C51" s="12" t="s">
        <v>230</v>
      </c>
      <c r="D51" s="12" t="s">
        <v>231</v>
      </c>
      <c r="E51" s="12" t="str">
        <f>RIGHT(Tabela2[[#This Row],[numero_convenio]],4)</f>
        <v>2023</v>
      </c>
      <c r="F51" s="12" t="s">
        <v>232</v>
      </c>
      <c r="G51" s="12" t="s">
        <v>233</v>
      </c>
      <c r="H51" s="13" t="s">
        <v>629</v>
      </c>
      <c r="I51" s="14">
        <v>45272</v>
      </c>
      <c r="J51" s="14">
        <v>46094</v>
      </c>
      <c r="K51" s="15">
        <v>6733199.7699999996</v>
      </c>
      <c r="L51" s="15">
        <v>6059879.7699999996</v>
      </c>
      <c r="M51" s="15">
        <v>673320</v>
      </c>
      <c r="N51" s="12">
        <v>3</v>
      </c>
      <c r="O51" s="16">
        <v>1145293.1100000001</v>
      </c>
    </row>
    <row r="52" spans="1:15" x14ac:dyDescent="0.25">
      <c r="A52" s="18" t="s">
        <v>0</v>
      </c>
      <c r="B52" s="18" t="s">
        <v>234</v>
      </c>
      <c r="C52" s="18" t="s">
        <v>235</v>
      </c>
      <c r="D52" s="18" t="s">
        <v>236</v>
      </c>
      <c r="E52" s="18" t="str">
        <f>RIGHT(Tabela2[[#This Row],[numero_convenio]],4)</f>
        <v>2023</v>
      </c>
      <c r="F52" s="23" t="s">
        <v>237</v>
      </c>
      <c r="G52" s="18" t="s">
        <v>238</v>
      </c>
      <c r="H52" s="19" t="s">
        <v>629</v>
      </c>
      <c r="I52" s="8">
        <v>45272</v>
      </c>
      <c r="J52" s="8">
        <v>46094</v>
      </c>
      <c r="K52" s="20">
        <v>6733199.7699999996</v>
      </c>
      <c r="L52" s="20">
        <v>6463871.7699999996</v>
      </c>
      <c r="M52" s="20">
        <v>269328</v>
      </c>
      <c r="N52" s="18">
        <v>3</v>
      </c>
      <c r="O52" s="21">
        <v>532965.51</v>
      </c>
    </row>
    <row r="53" spans="1:15" x14ac:dyDescent="0.25">
      <c r="A53" s="12" t="s">
        <v>0</v>
      </c>
      <c r="B53" s="12" t="s">
        <v>143</v>
      </c>
      <c r="C53" s="12" t="s">
        <v>144</v>
      </c>
      <c r="D53" s="12" t="s">
        <v>239</v>
      </c>
      <c r="E53" s="12" t="str">
        <f>RIGHT(Tabela2[[#This Row],[numero_convenio]],4)</f>
        <v>2023</v>
      </c>
      <c r="F53" s="22" t="s">
        <v>240</v>
      </c>
      <c r="G53" s="12" t="s">
        <v>241</v>
      </c>
      <c r="H53" s="13" t="s">
        <v>629</v>
      </c>
      <c r="I53" s="14">
        <v>45272</v>
      </c>
      <c r="J53" s="14">
        <v>46094</v>
      </c>
      <c r="K53" s="15">
        <v>6866541.0599999996</v>
      </c>
      <c r="L53" s="15">
        <v>6591879.4199999999</v>
      </c>
      <c r="M53" s="15">
        <v>274661.64</v>
      </c>
      <c r="N53" s="12">
        <v>3</v>
      </c>
      <c r="O53" s="11">
        <v>0</v>
      </c>
    </row>
    <row r="54" spans="1:15" x14ac:dyDescent="0.25">
      <c r="A54" s="18" t="s">
        <v>0</v>
      </c>
      <c r="B54" s="18" t="s">
        <v>242</v>
      </c>
      <c r="C54" s="18" t="s">
        <v>243</v>
      </c>
      <c r="D54" s="18" t="s">
        <v>244</v>
      </c>
      <c r="E54" s="18" t="str">
        <f>RIGHT(Tabela2[[#This Row],[numero_convenio]],4)</f>
        <v>2023</v>
      </c>
      <c r="F54" s="18" t="s">
        <v>245</v>
      </c>
      <c r="G54" s="18" t="s">
        <v>246</v>
      </c>
      <c r="H54" s="19" t="s">
        <v>629</v>
      </c>
      <c r="I54" s="8">
        <v>45279</v>
      </c>
      <c r="J54" s="8">
        <v>46101</v>
      </c>
      <c r="K54" s="20">
        <v>6733199.7699999996</v>
      </c>
      <c r="L54" s="20">
        <v>6329207.7800000003</v>
      </c>
      <c r="M54" s="20">
        <v>403991.99</v>
      </c>
      <c r="N54" s="18">
        <v>3</v>
      </c>
      <c r="O54" s="11">
        <v>0</v>
      </c>
    </row>
    <row r="55" spans="1:15" x14ac:dyDescent="0.25">
      <c r="A55" s="12" t="s">
        <v>0</v>
      </c>
      <c r="B55" s="12" t="s">
        <v>247</v>
      </c>
      <c r="C55" s="12" t="s">
        <v>248</v>
      </c>
      <c r="D55" s="12" t="s">
        <v>249</v>
      </c>
      <c r="E55" s="12" t="str">
        <f>RIGHT(Tabela2[[#This Row],[numero_convenio]],4)</f>
        <v>2023</v>
      </c>
      <c r="F55" s="12" t="s">
        <v>250</v>
      </c>
      <c r="G55" s="12" t="s">
        <v>251</v>
      </c>
      <c r="H55" s="13" t="s">
        <v>629</v>
      </c>
      <c r="I55" s="14">
        <v>45272</v>
      </c>
      <c r="J55" s="14">
        <v>46094</v>
      </c>
      <c r="K55" s="15">
        <v>6766535.0899999999</v>
      </c>
      <c r="L55" s="15">
        <v>6495873.6900000004</v>
      </c>
      <c r="M55" s="15">
        <v>270661.40000000002</v>
      </c>
      <c r="N55" s="12">
        <v>3</v>
      </c>
      <c r="O55" s="11">
        <v>0</v>
      </c>
    </row>
    <row r="56" spans="1:15" x14ac:dyDescent="0.25">
      <c r="A56" s="18" t="s">
        <v>0</v>
      </c>
      <c r="B56" s="18" t="s">
        <v>252</v>
      </c>
      <c r="C56" s="18" t="s">
        <v>253</v>
      </c>
      <c r="D56" s="18" t="s">
        <v>254</v>
      </c>
      <c r="E56" s="18" t="str">
        <f>RIGHT(Tabela2[[#This Row],[numero_convenio]],4)</f>
        <v>2023</v>
      </c>
      <c r="F56" s="23" t="s">
        <v>255</v>
      </c>
      <c r="G56" s="18" t="s">
        <v>256</v>
      </c>
      <c r="H56" s="19" t="s">
        <v>629</v>
      </c>
      <c r="I56" s="8">
        <v>45272</v>
      </c>
      <c r="J56" s="8">
        <v>46094</v>
      </c>
      <c r="K56" s="20">
        <v>6766535.0899999999</v>
      </c>
      <c r="L56" s="20">
        <v>6495873.6900000004</v>
      </c>
      <c r="M56" s="20">
        <v>270661.40000000002</v>
      </c>
      <c r="N56" s="18">
        <v>3</v>
      </c>
      <c r="O56" s="11">
        <v>0</v>
      </c>
    </row>
    <row r="57" spans="1:15" x14ac:dyDescent="0.25">
      <c r="A57" s="12" t="s">
        <v>0</v>
      </c>
      <c r="B57" s="12" t="s">
        <v>77</v>
      </c>
      <c r="C57" s="12" t="s">
        <v>257</v>
      </c>
      <c r="D57" s="12" t="s">
        <v>258</v>
      </c>
      <c r="E57" s="12" t="str">
        <f>RIGHT(Tabela2[[#This Row],[numero_convenio]],4)</f>
        <v>2023</v>
      </c>
      <c r="F57" s="12" t="s">
        <v>259</v>
      </c>
      <c r="G57" s="12" t="s">
        <v>260</v>
      </c>
      <c r="H57" s="13" t="s">
        <v>629</v>
      </c>
      <c r="I57" s="14">
        <v>45272</v>
      </c>
      <c r="J57" s="14">
        <v>46094</v>
      </c>
      <c r="K57" s="15">
        <v>6733199.7699999996</v>
      </c>
      <c r="L57" s="15">
        <v>6329207.79</v>
      </c>
      <c r="M57" s="15">
        <v>403991.98</v>
      </c>
      <c r="N57" s="12">
        <v>3</v>
      </c>
      <c r="O57" s="11">
        <v>0</v>
      </c>
    </row>
    <row r="58" spans="1:15" x14ac:dyDescent="0.25">
      <c r="A58" s="18" t="s">
        <v>0</v>
      </c>
      <c r="B58" s="18" t="s">
        <v>62</v>
      </c>
      <c r="C58" s="18" t="s">
        <v>63</v>
      </c>
      <c r="D58" s="18" t="s">
        <v>261</v>
      </c>
      <c r="E58" s="18" t="str">
        <f>RIGHT(Tabela2[[#This Row],[numero_convenio]],4)</f>
        <v>2023</v>
      </c>
      <c r="F58" s="18" t="s">
        <v>262</v>
      </c>
      <c r="G58" s="18" t="s">
        <v>263</v>
      </c>
      <c r="H58" s="19" t="s">
        <v>629</v>
      </c>
      <c r="I58" s="8">
        <v>45272</v>
      </c>
      <c r="J58" s="8">
        <v>46094</v>
      </c>
      <c r="K58" s="20">
        <v>6733199.7699999996</v>
      </c>
      <c r="L58" s="20">
        <v>6059879.7999999998</v>
      </c>
      <c r="M58" s="20">
        <v>673319.97</v>
      </c>
      <c r="N58" s="18">
        <v>3</v>
      </c>
      <c r="O58" s="11">
        <v>0</v>
      </c>
    </row>
    <row r="59" spans="1:15" x14ac:dyDescent="0.25">
      <c r="A59" s="12" t="s">
        <v>0</v>
      </c>
      <c r="B59" s="12" t="s">
        <v>125</v>
      </c>
      <c r="C59" s="12" t="s">
        <v>126</v>
      </c>
      <c r="D59" s="12" t="s">
        <v>265</v>
      </c>
      <c r="E59" s="12" t="str">
        <f>RIGHT(Tabela2[[#This Row],[numero_convenio]],4)</f>
        <v>2023</v>
      </c>
      <c r="F59" s="22" t="s">
        <v>266</v>
      </c>
      <c r="G59" s="12" t="s">
        <v>267</v>
      </c>
      <c r="H59" s="13" t="s">
        <v>629</v>
      </c>
      <c r="I59" s="14">
        <v>45315</v>
      </c>
      <c r="J59" s="14">
        <v>46137</v>
      </c>
      <c r="K59" s="15">
        <v>6733199.7699999996</v>
      </c>
      <c r="L59" s="15">
        <v>6463871.7699999996</v>
      </c>
      <c r="M59" s="15">
        <v>269328</v>
      </c>
      <c r="N59" s="12">
        <v>3</v>
      </c>
      <c r="O59" s="11">
        <v>0</v>
      </c>
    </row>
    <row r="60" spans="1:15" x14ac:dyDescent="0.25">
      <c r="A60" s="18" t="s">
        <v>0</v>
      </c>
      <c r="B60" s="18" t="s">
        <v>268</v>
      </c>
      <c r="C60" s="18" t="s">
        <v>269</v>
      </c>
      <c r="D60" s="18" t="s">
        <v>270</v>
      </c>
      <c r="E60" s="18" t="str">
        <f>RIGHT(Tabela2[[#This Row],[numero_convenio]],4)</f>
        <v>2023</v>
      </c>
      <c r="F60" s="23" t="s">
        <v>271</v>
      </c>
      <c r="G60" s="18" t="s">
        <v>272</v>
      </c>
      <c r="H60" s="19" t="s">
        <v>629</v>
      </c>
      <c r="I60" s="8">
        <v>45272</v>
      </c>
      <c r="J60" s="8">
        <v>46094</v>
      </c>
      <c r="K60" s="20">
        <v>6733199.7699999996</v>
      </c>
      <c r="L60" s="20">
        <v>6463871.7699999996</v>
      </c>
      <c r="M60" s="20">
        <v>269328</v>
      </c>
      <c r="N60" s="18">
        <v>3</v>
      </c>
      <c r="O60" s="11">
        <v>0</v>
      </c>
    </row>
    <row r="61" spans="1:15" x14ac:dyDescent="0.25">
      <c r="A61" s="12" t="s">
        <v>0</v>
      </c>
      <c r="B61" s="12" t="s">
        <v>273</v>
      </c>
      <c r="C61" s="12" t="s">
        <v>274</v>
      </c>
      <c r="D61" s="12" t="s">
        <v>275</v>
      </c>
      <c r="E61" s="12" t="str">
        <f>RIGHT(Tabela2[[#This Row],[numero_convenio]],4)</f>
        <v>2023</v>
      </c>
      <c r="F61" s="22" t="s">
        <v>276</v>
      </c>
      <c r="G61" s="12" t="s">
        <v>277</v>
      </c>
      <c r="H61" s="13" t="s">
        <v>629</v>
      </c>
      <c r="I61" s="14">
        <v>45272</v>
      </c>
      <c r="J61" s="14">
        <v>46089</v>
      </c>
      <c r="K61" s="15">
        <v>6733199.7699999996</v>
      </c>
      <c r="L61" s="15">
        <v>6463871.7699999996</v>
      </c>
      <c r="M61" s="15">
        <v>269328</v>
      </c>
      <c r="N61" s="12">
        <v>3</v>
      </c>
      <c r="O61" s="11">
        <v>0</v>
      </c>
    </row>
    <row r="62" spans="1:15" x14ac:dyDescent="0.25">
      <c r="A62" s="18" t="s">
        <v>0</v>
      </c>
      <c r="B62" s="18" t="s">
        <v>278</v>
      </c>
      <c r="C62" s="18" t="s">
        <v>22</v>
      </c>
      <c r="D62" s="18" t="s">
        <v>279</v>
      </c>
      <c r="E62" s="18" t="str">
        <f>RIGHT(Tabela2[[#This Row],[numero_convenio]],4)</f>
        <v>2023</v>
      </c>
      <c r="F62" s="23" t="s">
        <v>280</v>
      </c>
      <c r="G62" s="18" t="s">
        <v>170</v>
      </c>
      <c r="H62" s="19" t="s">
        <v>629</v>
      </c>
      <c r="I62" s="8">
        <v>45272</v>
      </c>
      <c r="J62" s="8">
        <v>46186</v>
      </c>
      <c r="K62" s="20" t="s">
        <v>264</v>
      </c>
      <c r="L62" s="20">
        <v>6463871.7800000003</v>
      </c>
      <c r="M62" s="20">
        <v>269327.99</v>
      </c>
      <c r="N62" s="18">
        <v>3</v>
      </c>
      <c r="O62" s="11">
        <v>0</v>
      </c>
    </row>
    <row r="63" spans="1:15" x14ac:dyDescent="0.25">
      <c r="A63" s="12" t="s">
        <v>0</v>
      </c>
      <c r="B63" s="12" t="s">
        <v>281</v>
      </c>
      <c r="C63" s="12" t="s">
        <v>282</v>
      </c>
      <c r="D63" s="12" t="s">
        <v>283</v>
      </c>
      <c r="E63" s="12" t="str">
        <f>RIGHT(Tabela2[[#This Row],[numero_convenio]],4)</f>
        <v>2023</v>
      </c>
      <c r="F63" s="12" t="s">
        <v>284</v>
      </c>
      <c r="G63" s="12" t="s">
        <v>285</v>
      </c>
      <c r="H63" s="13" t="s">
        <v>629</v>
      </c>
      <c r="I63" s="14">
        <v>45272</v>
      </c>
      <c r="J63" s="14">
        <v>46094</v>
      </c>
      <c r="K63" s="15">
        <v>6799870.4100000001</v>
      </c>
      <c r="L63" s="15">
        <v>6527875.5599999996</v>
      </c>
      <c r="M63" s="15">
        <v>271994.84999999998</v>
      </c>
      <c r="N63" s="12">
        <v>3</v>
      </c>
      <c r="O63" s="11">
        <v>0</v>
      </c>
    </row>
    <row r="64" spans="1:15" x14ac:dyDescent="0.25">
      <c r="A64" s="18" t="s">
        <v>0</v>
      </c>
      <c r="B64" s="18" t="s">
        <v>1</v>
      </c>
      <c r="C64" s="18" t="s">
        <v>2</v>
      </c>
      <c r="D64" s="18" t="s">
        <v>286</v>
      </c>
      <c r="E64" s="18" t="str">
        <f>RIGHT(Tabela2[[#This Row],[numero_convenio]],4)</f>
        <v>2023</v>
      </c>
      <c r="F64" s="18" t="s">
        <v>287</v>
      </c>
      <c r="G64" s="18" t="s">
        <v>288</v>
      </c>
      <c r="H64" s="19" t="s">
        <v>629</v>
      </c>
      <c r="I64" s="8">
        <v>45272</v>
      </c>
      <c r="J64" s="8">
        <v>46094</v>
      </c>
      <c r="K64" s="20" t="s">
        <v>264</v>
      </c>
      <c r="L64" s="20">
        <v>6463871.7699999996</v>
      </c>
      <c r="M64" s="20">
        <v>269328</v>
      </c>
      <c r="N64" s="18">
        <v>3</v>
      </c>
      <c r="O64" s="11">
        <v>0</v>
      </c>
    </row>
    <row r="65" spans="1:15" x14ac:dyDescent="0.25">
      <c r="A65" s="12" t="s">
        <v>0</v>
      </c>
      <c r="B65" s="12" t="s">
        <v>642</v>
      </c>
      <c r="C65" s="12" t="s">
        <v>289</v>
      </c>
      <c r="D65" s="12" t="s">
        <v>290</v>
      </c>
      <c r="E65" s="12" t="str">
        <f>RIGHT(Tabela2[[#This Row],[numero_convenio]],4)</f>
        <v>2023</v>
      </c>
      <c r="F65" s="12" t="s">
        <v>291</v>
      </c>
      <c r="G65" s="12" t="s">
        <v>292</v>
      </c>
      <c r="H65" s="12" t="s">
        <v>629</v>
      </c>
      <c r="I65" s="14">
        <v>45272</v>
      </c>
      <c r="J65" s="14">
        <v>46094</v>
      </c>
      <c r="K65" s="15" t="s">
        <v>264</v>
      </c>
      <c r="L65" s="15">
        <v>6463871.7699999996</v>
      </c>
      <c r="M65" s="15">
        <v>269328</v>
      </c>
      <c r="N65" s="12">
        <v>3</v>
      </c>
      <c r="O65" s="11">
        <v>0</v>
      </c>
    </row>
    <row r="66" spans="1:15" x14ac:dyDescent="0.25">
      <c r="A66" s="18" t="s">
        <v>0</v>
      </c>
      <c r="B66" s="18" t="s">
        <v>293</v>
      </c>
      <c r="C66" s="18" t="s">
        <v>294</v>
      </c>
      <c r="D66" s="18" t="s">
        <v>295</v>
      </c>
      <c r="E66" s="18" t="str">
        <f>RIGHT(Tabela2[[#This Row],[numero_convenio]],4)</f>
        <v>2023</v>
      </c>
      <c r="F66" s="23" t="s">
        <v>296</v>
      </c>
      <c r="G66" s="18" t="s">
        <v>297</v>
      </c>
      <c r="H66" s="19" t="s">
        <v>629</v>
      </c>
      <c r="I66" s="8">
        <v>45279</v>
      </c>
      <c r="J66" s="8">
        <v>46101</v>
      </c>
      <c r="K66" s="20">
        <v>6733199.7699999996</v>
      </c>
      <c r="L66" s="20">
        <v>6463871.7699999996</v>
      </c>
      <c r="M66" s="20">
        <v>269328</v>
      </c>
      <c r="N66" s="18">
        <v>3</v>
      </c>
      <c r="O66" s="16">
        <v>1095760.05</v>
      </c>
    </row>
    <row r="67" spans="1:15" x14ac:dyDescent="0.25">
      <c r="A67" s="12" t="s">
        <v>0</v>
      </c>
      <c r="B67" s="12" t="s">
        <v>298</v>
      </c>
      <c r="C67" s="12" t="s">
        <v>299</v>
      </c>
      <c r="D67" s="12" t="s">
        <v>300</v>
      </c>
      <c r="E67" s="12" t="str">
        <f>RIGHT(Tabela2[[#This Row],[numero_convenio]],4)</f>
        <v>2023</v>
      </c>
      <c r="F67" s="22" t="s">
        <v>301</v>
      </c>
      <c r="G67" s="12" t="s">
        <v>302</v>
      </c>
      <c r="H67" s="13" t="s">
        <v>629</v>
      </c>
      <c r="I67" s="14">
        <v>45279</v>
      </c>
      <c r="J67" s="14">
        <v>46101</v>
      </c>
      <c r="K67" s="15">
        <v>6733199.7699999996</v>
      </c>
      <c r="L67" s="15">
        <v>7123203.5700000003</v>
      </c>
      <c r="M67" s="15">
        <v>269328</v>
      </c>
      <c r="N67" s="12">
        <v>4</v>
      </c>
      <c r="O67" s="16">
        <v>659331.79</v>
      </c>
    </row>
    <row r="68" spans="1:15" x14ac:dyDescent="0.25">
      <c r="A68" s="18" t="s">
        <v>0</v>
      </c>
      <c r="B68" s="18" t="s">
        <v>148</v>
      </c>
      <c r="C68" s="18" t="s">
        <v>149</v>
      </c>
      <c r="D68" s="18" t="s">
        <v>303</v>
      </c>
      <c r="E68" s="18" t="str">
        <f>RIGHT(Tabela2[[#This Row],[numero_convenio]],4)</f>
        <v>2023</v>
      </c>
      <c r="F68" s="23" t="s">
        <v>304</v>
      </c>
      <c r="G68" s="18" t="s">
        <v>305</v>
      </c>
      <c r="H68" s="19" t="s">
        <v>629</v>
      </c>
      <c r="I68" s="8">
        <v>45279</v>
      </c>
      <c r="J68" s="8">
        <v>46101</v>
      </c>
      <c r="K68" s="20">
        <v>6766535.0899999999</v>
      </c>
      <c r="L68" s="20">
        <v>6495873.6900000004</v>
      </c>
      <c r="M68" s="20">
        <v>270661.40000000002</v>
      </c>
      <c r="N68" s="18">
        <v>3</v>
      </c>
      <c r="O68" s="11">
        <v>0</v>
      </c>
    </row>
    <row r="69" spans="1:15" x14ac:dyDescent="0.25">
      <c r="A69" s="12" t="s">
        <v>0</v>
      </c>
      <c r="B69" s="12" t="s">
        <v>57</v>
      </c>
      <c r="C69" s="12" t="s">
        <v>58</v>
      </c>
      <c r="D69" s="12" t="s">
        <v>306</v>
      </c>
      <c r="E69" s="12" t="str">
        <f>RIGHT(Tabela2[[#This Row],[numero_convenio]],4)</f>
        <v>2023</v>
      </c>
      <c r="F69" s="22" t="s">
        <v>307</v>
      </c>
      <c r="G69" s="12" t="s">
        <v>308</v>
      </c>
      <c r="H69" s="13" t="s">
        <v>629</v>
      </c>
      <c r="I69" s="14">
        <v>45279</v>
      </c>
      <c r="J69" s="14">
        <v>46101</v>
      </c>
      <c r="K69" s="15">
        <v>6766535.0899999999</v>
      </c>
      <c r="L69" s="15">
        <v>6360542.9900000002</v>
      </c>
      <c r="M69" s="15">
        <v>405992.1</v>
      </c>
      <c r="N69" s="12">
        <v>3</v>
      </c>
      <c r="O69" s="11">
        <v>0</v>
      </c>
    </row>
    <row r="70" spans="1:15" x14ac:dyDescent="0.25">
      <c r="A70" s="18" t="s">
        <v>0</v>
      </c>
      <c r="B70" s="18" t="s">
        <v>153</v>
      </c>
      <c r="C70" s="18" t="s">
        <v>154</v>
      </c>
      <c r="D70" s="18" t="s">
        <v>309</v>
      </c>
      <c r="E70" s="18" t="str">
        <f>RIGHT(Tabela2[[#This Row],[numero_convenio]],4)</f>
        <v>2023</v>
      </c>
      <c r="F70" s="23" t="s">
        <v>310</v>
      </c>
      <c r="G70" s="18" t="s">
        <v>311</v>
      </c>
      <c r="H70" s="19" t="s">
        <v>629</v>
      </c>
      <c r="I70" s="8">
        <v>45279</v>
      </c>
      <c r="J70" s="8">
        <v>46101</v>
      </c>
      <c r="K70" s="20">
        <v>6733199.7699999996</v>
      </c>
      <c r="L70" s="20">
        <v>6463871.7999999998</v>
      </c>
      <c r="M70" s="20">
        <v>269327.96999999997</v>
      </c>
      <c r="N70" s="18">
        <v>3</v>
      </c>
      <c r="O70" s="11">
        <v>0</v>
      </c>
    </row>
    <row r="71" spans="1:15" x14ac:dyDescent="0.25">
      <c r="A71" s="12" t="s">
        <v>0</v>
      </c>
      <c r="B71" s="12" t="s">
        <v>130</v>
      </c>
      <c r="C71" s="12" t="s">
        <v>78</v>
      </c>
      <c r="D71" s="12" t="s">
        <v>312</v>
      </c>
      <c r="E71" s="12" t="str">
        <f>RIGHT(Tabela2[[#This Row],[numero_convenio]],4)</f>
        <v>2023</v>
      </c>
      <c r="F71" s="22" t="s">
        <v>313</v>
      </c>
      <c r="G71" s="12" t="s">
        <v>314</v>
      </c>
      <c r="H71" s="13" t="s">
        <v>629</v>
      </c>
      <c r="I71" s="14">
        <v>45279</v>
      </c>
      <c r="J71" s="14">
        <v>46101</v>
      </c>
      <c r="K71" s="15">
        <v>6733199.7699999996</v>
      </c>
      <c r="L71" s="15">
        <v>6463871.7800000003</v>
      </c>
      <c r="M71" s="15">
        <v>269327.99</v>
      </c>
      <c r="N71" s="12">
        <v>3</v>
      </c>
      <c r="O71" s="11">
        <v>0</v>
      </c>
    </row>
    <row r="72" spans="1:15" x14ac:dyDescent="0.25">
      <c r="A72" s="18" t="s">
        <v>0</v>
      </c>
      <c r="B72" s="18" t="s">
        <v>315</v>
      </c>
      <c r="C72" s="18" t="s">
        <v>316</v>
      </c>
      <c r="D72" s="18" t="s">
        <v>317</v>
      </c>
      <c r="E72" s="18" t="str">
        <f>RIGHT(Tabela2[[#This Row],[numero_convenio]],4)</f>
        <v>2023</v>
      </c>
      <c r="F72" s="18" t="s">
        <v>318</v>
      </c>
      <c r="G72" s="18" t="s">
        <v>319</v>
      </c>
      <c r="H72" s="19" t="s">
        <v>629</v>
      </c>
      <c r="I72" s="8">
        <v>45279</v>
      </c>
      <c r="J72" s="8">
        <v>46101</v>
      </c>
      <c r="K72" s="20">
        <v>6766535.0899999999</v>
      </c>
      <c r="L72" s="20">
        <v>6428208.3399999999</v>
      </c>
      <c r="M72" s="20">
        <v>338326.75</v>
      </c>
      <c r="N72" s="18">
        <v>3</v>
      </c>
      <c r="O72" s="11">
        <v>0</v>
      </c>
    </row>
    <row r="73" spans="1:15" x14ac:dyDescent="0.25">
      <c r="A73" s="12" t="s">
        <v>0</v>
      </c>
      <c r="B73" s="12" t="s">
        <v>320</v>
      </c>
      <c r="C73" s="12" t="s">
        <v>321</v>
      </c>
      <c r="D73" s="12" t="s">
        <v>322</v>
      </c>
      <c r="E73" s="12" t="str">
        <f>RIGHT(Tabela2[[#This Row],[numero_convenio]],4)</f>
        <v>2023</v>
      </c>
      <c r="F73" s="12" t="s">
        <v>323</v>
      </c>
      <c r="G73" s="12" t="s">
        <v>324</v>
      </c>
      <c r="H73" s="13" t="s">
        <v>629</v>
      </c>
      <c r="I73" s="14">
        <v>45279</v>
      </c>
      <c r="J73" s="14">
        <v>46101</v>
      </c>
      <c r="K73" s="15">
        <v>6733199.7699999996</v>
      </c>
      <c r="L73" s="15">
        <v>6463871.7699999996</v>
      </c>
      <c r="M73" s="15">
        <v>269328</v>
      </c>
      <c r="N73" s="12">
        <v>3</v>
      </c>
      <c r="O73" s="11">
        <v>0</v>
      </c>
    </row>
    <row r="74" spans="1:15" x14ac:dyDescent="0.25">
      <c r="A74" s="18" t="s">
        <v>0</v>
      </c>
      <c r="B74" s="18" t="s">
        <v>325</v>
      </c>
      <c r="C74" s="18" t="s">
        <v>326</v>
      </c>
      <c r="D74" s="18" t="s">
        <v>327</v>
      </c>
      <c r="E74" s="18" t="str">
        <f>RIGHT(Tabela2[[#This Row],[numero_convenio]],4)</f>
        <v>2023</v>
      </c>
      <c r="F74" s="18" t="s">
        <v>328</v>
      </c>
      <c r="G74" s="18" t="s">
        <v>329</v>
      </c>
      <c r="H74" s="19" t="s">
        <v>629</v>
      </c>
      <c r="I74" s="8">
        <v>45272</v>
      </c>
      <c r="J74" s="8">
        <v>46094</v>
      </c>
      <c r="K74" s="20" t="s">
        <v>264</v>
      </c>
      <c r="L74" s="20">
        <v>6463871.7699999996</v>
      </c>
      <c r="M74" s="20">
        <v>269328</v>
      </c>
      <c r="N74" s="18">
        <v>3</v>
      </c>
      <c r="O74" s="11">
        <v>0</v>
      </c>
    </row>
    <row r="75" spans="1:15" x14ac:dyDescent="0.25">
      <c r="A75" s="12" t="s">
        <v>0</v>
      </c>
      <c r="B75" s="12" t="s">
        <v>330</v>
      </c>
      <c r="C75" s="12" t="s">
        <v>331</v>
      </c>
      <c r="D75" s="12" t="s">
        <v>332</v>
      </c>
      <c r="E75" s="12" t="str">
        <f>RIGHT(Tabela2[[#This Row],[numero_convenio]],4)</f>
        <v>2023</v>
      </c>
      <c r="F75" s="12" t="s">
        <v>333</v>
      </c>
      <c r="G75" s="12" t="s">
        <v>334</v>
      </c>
      <c r="H75" s="13" t="s">
        <v>629</v>
      </c>
      <c r="I75" s="14">
        <v>45272</v>
      </c>
      <c r="J75" s="14">
        <v>46094</v>
      </c>
      <c r="K75" s="15" t="s">
        <v>264</v>
      </c>
      <c r="L75" s="15">
        <v>6463871.7699999996</v>
      </c>
      <c r="M75" s="15">
        <v>269328</v>
      </c>
      <c r="N75" s="12">
        <v>3</v>
      </c>
      <c r="O75" s="11">
        <v>0</v>
      </c>
    </row>
    <row r="76" spans="1:15" x14ac:dyDescent="0.25">
      <c r="A76" s="18" t="s">
        <v>0</v>
      </c>
      <c r="B76" s="18" t="s">
        <v>335</v>
      </c>
      <c r="C76" s="18" t="s">
        <v>336</v>
      </c>
      <c r="D76" s="18" t="s">
        <v>337</v>
      </c>
      <c r="E76" s="18" t="str">
        <f>RIGHT(Tabela2[[#This Row],[numero_convenio]],4)</f>
        <v>2023</v>
      </c>
      <c r="F76" s="18" t="s">
        <v>338</v>
      </c>
      <c r="G76" s="18" t="s">
        <v>339</v>
      </c>
      <c r="H76" s="19" t="s">
        <v>629</v>
      </c>
      <c r="I76" s="8">
        <v>45272</v>
      </c>
      <c r="J76" s="8">
        <v>46094</v>
      </c>
      <c r="K76" s="20" t="s">
        <v>264</v>
      </c>
      <c r="L76" s="20">
        <v>6463871.7699999996</v>
      </c>
      <c r="M76" s="20">
        <v>269328</v>
      </c>
      <c r="N76" s="18">
        <v>3</v>
      </c>
      <c r="O76" s="11">
        <v>0</v>
      </c>
    </row>
    <row r="77" spans="1:15" x14ac:dyDescent="0.25">
      <c r="A77" s="12" t="s">
        <v>0</v>
      </c>
      <c r="B77" s="12" t="s">
        <v>340</v>
      </c>
      <c r="C77" s="12" t="s">
        <v>341</v>
      </c>
      <c r="D77" s="12" t="s">
        <v>342</v>
      </c>
      <c r="E77" s="12" t="str">
        <f>RIGHT(Tabela2[[#This Row],[numero_convenio]],4)</f>
        <v>2023</v>
      </c>
      <c r="F77" s="22" t="s">
        <v>343</v>
      </c>
      <c r="G77" s="12" t="s">
        <v>344</v>
      </c>
      <c r="H77" s="13" t="s">
        <v>629</v>
      </c>
      <c r="I77" s="14">
        <v>45272</v>
      </c>
      <c r="J77" s="14">
        <v>46094</v>
      </c>
      <c r="K77" s="15">
        <v>6766535.0899999999</v>
      </c>
      <c r="L77" s="15">
        <v>6495873.6900000004</v>
      </c>
      <c r="M77" s="15">
        <v>270661.40000000002</v>
      </c>
      <c r="N77" s="12">
        <v>3</v>
      </c>
      <c r="O77" s="11">
        <v>0</v>
      </c>
    </row>
    <row r="78" spans="1:15" x14ac:dyDescent="0.25">
      <c r="A78" s="18" t="s">
        <v>0</v>
      </c>
      <c r="B78" s="18" t="s">
        <v>345</v>
      </c>
      <c r="C78" s="18" t="s">
        <v>346</v>
      </c>
      <c r="D78" s="18" t="s">
        <v>347</v>
      </c>
      <c r="E78" s="18" t="str">
        <f>RIGHT(Tabela2[[#This Row],[numero_convenio]],4)</f>
        <v>2023</v>
      </c>
      <c r="F78" s="23" t="s">
        <v>348</v>
      </c>
      <c r="G78" s="18" t="s">
        <v>349</v>
      </c>
      <c r="H78" s="19" t="s">
        <v>629</v>
      </c>
      <c r="I78" s="8">
        <v>45272</v>
      </c>
      <c r="J78" s="8">
        <v>46094</v>
      </c>
      <c r="K78" s="20">
        <v>6766535.0899999999</v>
      </c>
      <c r="L78" s="20">
        <v>6495873.6900000004</v>
      </c>
      <c r="M78" s="20">
        <v>270661.40000000002</v>
      </c>
      <c r="N78" s="18">
        <v>3</v>
      </c>
      <c r="O78" s="11">
        <v>0</v>
      </c>
    </row>
    <row r="79" spans="1:15" x14ac:dyDescent="0.25">
      <c r="A79" s="12" t="s">
        <v>0</v>
      </c>
      <c r="B79" s="12" t="s">
        <v>350</v>
      </c>
      <c r="C79" s="12" t="s">
        <v>351</v>
      </c>
      <c r="D79" s="12" t="s">
        <v>352</v>
      </c>
      <c r="E79" s="12" t="str">
        <f>RIGHT(Tabela2[[#This Row],[numero_convenio]],4)</f>
        <v>2023</v>
      </c>
      <c r="F79" s="22" t="s">
        <v>353</v>
      </c>
      <c r="G79" s="12" t="s">
        <v>354</v>
      </c>
      <c r="H79" s="13" t="s">
        <v>629</v>
      </c>
      <c r="I79" s="14">
        <v>45279</v>
      </c>
      <c r="J79" s="14">
        <v>46101</v>
      </c>
      <c r="K79" s="15">
        <v>6766535.0899999999</v>
      </c>
      <c r="L79" s="15">
        <v>6495873.6900000004</v>
      </c>
      <c r="M79" s="15">
        <v>270661.40000000002</v>
      </c>
      <c r="N79" s="12">
        <v>3</v>
      </c>
      <c r="O79" s="11">
        <v>0</v>
      </c>
    </row>
    <row r="80" spans="1:15" x14ac:dyDescent="0.25">
      <c r="A80" s="18" t="s">
        <v>0</v>
      </c>
      <c r="B80" s="18" t="s">
        <v>355</v>
      </c>
      <c r="C80" s="18" t="s">
        <v>356</v>
      </c>
      <c r="D80" s="18" t="s">
        <v>357</v>
      </c>
      <c r="E80" s="18" t="str">
        <f>RIGHT(Tabela2[[#This Row],[numero_convenio]],4)</f>
        <v>2023</v>
      </c>
      <c r="F80" s="23" t="s">
        <v>358</v>
      </c>
      <c r="G80" s="18" t="s">
        <v>359</v>
      </c>
      <c r="H80" s="19" t="s">
        <v>629</v>
      </c>
      <c r="I80" s="8">
        <v>45272</v>
      </c>
      <c r="J80" s="8">
        <v>46094</v>
      </c>
      <c r="K80" s="20" t="s">
        <v>264</v>
      </c>
      <c r="L80" s="20">
        <v>6463871.7699999996</v>
      </c>
      <c r="M80" s="20">
        <v>269328</v>
      </c>
      <c r="N80" s="18">
        <v>3</v>
      </c>
      <c r="O80" s="11">
        <v>0</v>
      </c>
    </row>
    <row r="81" spans="1:15" x14ac:dyDescent="0.25">
      <c r="A81" s="12" t="s">
        <v>0</v>
      </c>
      <c r="B81" s="12" t="s">
        <v>360</v>
      </c>
      <c r="C81" s="12" t="s">
        <v>361</v>
      </c>
      <c r="D81" s="12" t="s">
        <v>362</v>
      </c>
      <c r="E81" s="12" t="str">
        <f>RIGHT(Tabela2[[#This Row],[numero_convenio]],4)</f>
        <v>2023</v>
      </c>
      <c r="F81" s="22" t="s">
        <v>363</v>
      </c>
      <c r="G81" s="12" t="s">
        <v>364</v>
      </c>
      <c r="H81" s="13" t="s">
        <v>629</v>
      </c>
      <c r="I81" s="14">
        <v>45272</v>
      </c>
      <c r="J81" s="14">
        <v>46094</v>
      </c>
      <c r="K81" s="15" t="s">
        <v>264</v>
      </c>
      <c r="L81" s="15">
        <v>6463871.7699999996</v>
      </c>
      <c r="M81" s="15">
        <v>269328</v>
      </c>
      <c r="N81" s="12">
        <v>3</v>
      </c>
      <c r="O81" s="11">
        <v>0</v>
      </c>
    </row>
    <row r="82" spans="1:15" x14ac:dyDescent="0.25">
      <c r="A82" s="18" t="s">
        <v>0</v>
      </c>
      <c r="B82" s="18" t="s">
        <v>365</v>
      </c>
      <c r="C82" s="18" t="s">
        <v>366</v>
      </c>
      <c r="D82" s="18" t="s">
        <v>367</v>
      </c>
      <c r="E82" s="18" t="str">
        <f>RIGHT(Tabela2[[#This Row],[numero_convenio]],4)</f>
        <v>2023</v>
      </c>
      <c r="F82" s="23" t="s">
        <v>368</v>
      </c>
      <c r="G82" s="18" t="s">
        <v>369</v>
      </c>
      <c r="H82" s="19" t="s">
        <v>629</v>
      </c>
      <c r="I82" s="8">
        <v>45272</v>
      </c>
      <c r="J82" s="8">
        <v>46094</v>
      </c>
      <c r="K82" s="20">
        <v>6766535.0899999999</v>
      </c>
      <c r="L82" s="20">
        <v>6495873.6900000004</v>
      </c>
      <c r="M82" s="20">
        <v>270661.40000000002</v>
      </c>
      <c r="N82" s="18">
        <v>3</v>
      </c>
      <c r="O82" s="11">
        <v>0</v>
      </c>
    </row>
    <row r="83" spans="1:15" x14ac:dyDescent="0.25">
      <c r="A83" s="24" t="s">
        <v>0</v>
      </c>
      <c r="B83" s="24" t="s">
        <v>370</v>
      </c>
      <c r="C83" s="24" t="s">
        <v>371</v>
      </c>
      <c r="D83" s="24" t="s">
        <v>372</v>
      </c>
      <c r="E83" s="24" t="str">
        <f>RIGHT(Tabela2[[#This Row],[numero_convenio]],4)</f>
        <v>2023</v>
      </c>
      <c r="F83" s="23" t="s">
        <v>373</v>
      </c>
      <c r="G83" s="24" t="s">
        <v>374</v>
      </c>
      <c r="H83" s="17" t="s">
        <v>629</v>
      </c>
      <c r="I83" s="25">
        <v>45272</v>
      </c>
      <c r="J83" s="25">
        <v>46094</v>
      </c>
      <c r="K83" s="26" t="s">
        <v>264</v>
      </c>
      <c r="L83" s="26">
        <v>6463871.7800000003</v>
      </c>
      <c r="M83" s="26">
        <v>269327.99</v>
      </c>
      <c r="N83" s="24">
        <v>3</v>
      </c>
      <c r="O83" s="11">
        <v>0</v>
      </c>
    </row>
    <row r="84" spans="1:15" x14ac:dyDescent="0.25">
      <c r="A84" s="27" t="s">
        <v>0</v>
      </c>
      <c r="B84" s="18" t="s">
        <v>375</v>
      </c>
      <c r="C84" s="18" t="s">
        <v>376</v>
      </c>
      <c r="D84" s="18" t="s">
        <v>377</v>
      </c>
      <c r="E84" s="18" t="str">
        <f>RIGHT(Tabela2[[#This Row],[numero_convenio]],4)</f>
        <v>2023</v>
      </c>
      <c r="F84" s="23" t="s">
        <v>378</v>
      </c>
      <c r="G84" s="18" t="s">
        <v>379</v>
      </c>
      <c r="H84" s="17" t="s">
        <v>629</v>
      </c>
      <c r="I84" s="8">
        <v>45279</v>
      </c>
      <c r="J84" s="8">
        <v>46100</v>
      </c>
      <c r="K84" s="20">
        <v>6733199.7699999996</v>
      </c>
      <c r="L84" s="20">
        <v>6329207.79</v>
      </c>
      <c r="M84" s="20">
        <v>403991.98</v>
      </c>
      <c r="N84" s="18">
        <v>3</v>
      </c>
      <c r="O84" s="11">
        <v>0</v>
      </c>
    </row>
    <row r="85" spans="1:15" x14ac:dyDescent="0.25">
      <c r="A85" s="24" t="s">
        <v>0</v>
      </c>
      <c r="B85" s="24" t="s">
        <v>380</v>
      </c>
      <c r="C85" s="24" t="s">
        <v>381</v>
      </c>
      <c r="D85" s="24" t="s">
        <v>382</v>
      </c>
      <c r="E85" s="24" t="str">
        <f>RIGHT(Tabela2[[#This Row],[numero_convenio]],4)</f>
        <v>2023</v>
      </c>
      <c r="F85" s="23" t="s">
        <v>383</v>
      </c>
      <c r="G85" s="24" t="s">
        <v>384</v>
      </c>
      <c r="H85" s="17" t="s">
        <v>629</v>
      </c>
      <c r="I85" s="25">
        <v>45279</v>
      </c>
      <c r="J85" s="25">
        <v>46193</v>
      </c>
      <c r="K85" s="26">
        <v>6766535.0899999999</v>
      </c>
      <c r="L85" s="26">
        <v>6495873.6900000004</v>
      </c>
      <c r="M85" s="26">
        <v>270661.40000000002</v>
      </c>
      <c r="N85" s="24">
        <v>3</v>
      </c>
      <c r="O85" s="11">
        <v>0</v>
      </c>
    </row>
    <row r="86" spans="1:15" x14ac:dyDescent="0.25">
      <c r="A86" s="27" t="s">
        <v>0</v>
      </c>
      <c r="B86" s="18" t="s">
        <v>385</v>
      </c>
      <c r="C86" s="18" t="s">
        <v>386</v>
      </c>
      <c r="D86" s="18" t="s">
        <v>387</v>
      </c>
      <c r="E86" s="18" t="str">
        <f>RIGHT(Tabela2[[#This Row],[numero_convenio]],4)</f>
        <v>2023</v>
      </c>
      <c r="F86" s="23" t="s">
        <v>388</v>
      </c>
      <c r="G86" s="18" t="s">
        <v>389</v>
      </c>
      <c r="H86" s="17" t="s">
        <v>629</v>
      </c>
      <c r="I86" s="8">
        <v>45279</v>
      </c>
      <c r="J86" s="8">
        <v>46101</v>
      </c>
      <c r="K86" s="20">
        <v>6733199.7699999996</v>
      </c>
      <c r="L86" s="20">
        <v>6463871.7800000003</v>
      </c>
      <c r="M86" s="20">
        <v>269327.99</v>
      </c>
      <c r="N86" s="18">
        <v>3</v>
      </c>
      <c r="O86" s="11">
        <v>0</v>
      </c>
    </row>
    <row r="87" spans="1:15" x14ac:dyDescent="0.25">
      <c r="A87" s="24" t="s">
        <v>0</v>
      </c>
      <c r="B87" s="24" t="s">
        <v>72</v>
      </c>
      <c r="C87" s="24" t="s">
        <v>73</v>
      </c>
      <c r="D87" s="24" t="s">
        <v>390</v>
      </c>
      <c r="E87" s="24" t="str">
        <f>RIGHT(Tabela2[[#This Row],[numero_convenio]],4)</f>
        <v>2023</v>
      </c>
      <c r="F87" s="23" t="s">
        <v>391</v>
      </c>
      <c r="G87" s="24" t="s">
        <v>392</v>
      </c>
      <c r="H87" s="17" t="s">
        <v>629</v>
      </c>
      <c r="I87" s="25">
        <v>45279</v>
      </c>
      <c r="J87" s="25">
        <v>46100</v>
      </c>
      <c r="K87" s="26">
        <v>6766535.0899999999</v>
      </c>
      <c r="L87" s="26">
        <v>6495873.6900000004</v>
      </c>
      <c r="M87" s="26">
        <v>270661.40000000002</v>
      </c>
      <c r="N87" s="24">
        <v>3</v>
      </c>
      <c r="O87" s="11">
        <v>0</v>
      </c>
    </row>
    <row r="88" spans="1:15" x14ac:dyDescent="0.25">
      <c r="A88" s="27" t="s">
        <v>0</v>
      </c>
      <c r="B88" s="18" t="s">
        <v>393</v>
      </c>
      <c r="C88" s="18" t="s">
        <v>394</v>
      </c>
      <c r="D88" s="18" t="s">
        <v>395</v>
      </c>
      <c r="E88" s="18" t="str">
        <f>RIGHT(Tabela2[[#This Row],[numero_convenio]],4)</f>
        <v>2023</v>
      </c>
      <c r="F88" s="23" t="s">
        <v>396</v>
      </c>
      <c r="G88" s="18" t="s">
        <v>397</v>
      </c>
      <c r="H88" s="17" t="s">
        <v>629</v>
      </c>
      <c r="I88" s="8">
        <v>45279</v>
      </c>
      <c r="J88" s="8">
        <v>46101</v>
      </c>
      <c r="K88" s="20">
        <v>6733199.7699999996</v>
      </c>
      <c r="L88" s="20">
        <v>6396539.79</v>
      </c>
      <c r="M88" s="20">
        <v>336659.98</v>
      </c>
      <c r="N88" s="18">
        <v>3</v>
      </c>
      <c r="O88" s="11">
        <v>0</v>
      </c>
    </row>
    <row r="89" spans="1:15" x14ac:dyDescent="0.25">
      <c r="A89" s="24" t="s">
        <v>0</v>
      </c>
      <c r="B89" s="24" t="s">
        <v>12</v>
      </c>
      <c r="C89" s="24" t="s">
        <v>13</v>
      </c>
      <c r="D89" s="24" t="s">
        <v>398</v>
      </c>
      <c r="E89" s="24" t="str">
        <f>RIGHT(Tabela2[[#This Row],[numero_convenio]],4)</f>
        <v>2023</v>
      </c>
      <c r="F89" s="23" t="s">
        <v>399</v>
      </c>
      <c r="G89" s="24" t="s">
        <v>400</v>
      </c>
      <c r="H89" s="17" t="s">
        <v>629</v>
      </c>
      <c r="I89" s="25">
        <v>45279</v>
      </c>
      <c r="J89" s="25">
        <v>46101</v>
      </c>
      <c r="K89" s="26">
        <v>6733199.7699999996</v>
      </c>
      <c r="L89" s="26">
        <v>6396539.7800000003</v>
      </c>
      <c r="M89" s="26">
        <v>336659.99</v>
      </c>
      <c r="N89" s="24">
        <v>3</v>
      </c>
      <c r="O89" s="11">
        <v>0</v>
      </c>
    </row>
    <row r="90" spans="1:15" x14ac:dyDescent="0.25">
      <c r="A90" s="27" t="s">
        <v>0</v>
      </c>
      <c r="B90" s="18" t="s">
        <v>401</v>
      </c>
      <c r="C90" s="18" t="s">
        <v>402</v>
      </c>
      <c r="D90" s="18" t="s">
        <v>403</v>
      </c>
      <c r="E90" s="18" t="str">
        <f>RIGHT(Tabela2[[#This Row],[numero_convenio]],4)</f>
        <v>2023</v>
      </c>
      <c r="F90" s="23" t="s">
        <v>404</v>
      </c>
      <c r="G90" s="18" t="s">
        <v>405</v>
      </c>
      <c r="H90" s="17" t="s">
        <v>629</v>
      </c>
      <c r="I90" s="8">
        <v>45279</v>
      </c>
      <c r="J90" s="8">
        <v>46101</v>
      </c>
      <c r="K90" s="20">
        <v>6733199.7699999996</v>
      </c>
      <c r="L90" s="20">
        <v>6463871.7699999996</v>
      </c>
      <c r="M90" s="20">
        <v>269328</v>
      </c>
      <c r="N90" s="18">
        <v>3</v>
      </c>
      <c r="O90" s="11">
        <v>0</v>
      </c>
    </row>
    <row r="91" spans="1:15" x14ac:dyDescent="0.25">
      <c r="A91" s="24" t="s">
        <v>0</v>
      </c>
      <c r="B91" s="24" t="s">
        <v>105</v>
      </c>
      <c r="C91" s="24" t="s">
        <v>78</v>
      </c>
      <c r="D91" s="24" t="s">
        <v>406</v>
      </c>
      <c r="E91" s="24" t="str">
        <f>RIGHT(Tabela2[[#This Row],[numero_convenio]],4)</f>
        <v>2023</v>
      </c>
      <c r="F91" s="23" t="s">
        <v>407</v>
      </c>
      <c r="G91" s="24" t="s">
        <v>408</v>
      </c>
      <c r="H91" s="17" t="s">
        <v>629</v>
      </c>
      <c r="I91" s="25">
        <v>45279</v>
      </c>
      <c r="J91" s="25">
        <v>46101</v>
      </c>
      <c r="K91" s="26">
        <v>6733199.7699999996</v>
      </c>
      <c r="L91" s="26">
        <v>6329207.79</v>
      </c>
      <c r="M91" s="26">
        <v>403991.98</v>
      </c>
      <c r="N91" s="24">
        <v>3</v>
      </c>
      <c r="O91" s="11">
        <v>0</v>
      </c>
    </row>
    <row r="92" spans="1:15" x14ac:dyDescent="0.25">
      <c r="A92" s="27" t="s">
        <v>0</v>
      </c>
      <c r="B92" s="18" t="s">
        <v>409</v>
      </c>
      <c r="C92" s="18" t="s">
        <v>410</v>
      </c>
      <c r="D92" s="18" t="s">
        <v>411</v>
      </c>
      <c r="E92" s="18" t="str">
        <f>RIGHT(Tabela2[[#This Row],[numero_convenio]],4)</f>
        <v>2024</v>
      </c>
      <c r="F92" s="23" t="s">
        <v>412</v>
      </c>
      <c r="G92" s="18" t="s">
        <v>413</v>
      </c>
      <c r="H92" s="17" t="s">
        <v>629</v>
      </c>
      <c r="I92" s="8">
        <v>45362</v>
      </c>
      <c r="J92" s="8">
        <v>46185</v>
      </c>
      <c r="K92" s="20">
        <v>6733199.7699999996</v>
      </c>
      <c r="L92" s="20">
        <v>6463871.7699999996</v>
      </c>
      <c r="M92" s="20">
        <v>269328</v>
      </c>
      <c r="N92" s="18">
        <v>3</v>
      </c>
      <c r="O92" s="11">
        <v>0</v>
      </c>
    </row>
    <row r="93" spans="1:15" x14ac:dyDescent="0.25">
      <c r="A93" s="24" t="s">
        <v>0</v>
      </c>
      <c r="B93" s="24" t="s">
        <v>414</v>
      </c>
      <c r="C93" s="24" t="s">
        <v>638</v>
      </c>
      <c r="D93" s="24" t="s">
        <v>415</v>
      </c>
      <c r="E93" s="24" t="str">
        <f>RIGHT(Tabela2[[#This Row],[numero_convenio]],4)</f>
        <v>2024</v>
      </c>
      <c r="F93" s="23" t="s">
        <v>416</v>
      </c>
      <c r="G93" s="24" t="s">
        <v>417</v>
      </c>
      <c r="H93" s="17" t="s">
        <v>629</v>
      </c>
      <c r="I93" s="25">
        <v>45373</v>
      </c>
      <c r="J93" s="25">
        <v>46288</v>
      </c>
      <c r="K93" s="26">
        <v>6766535.0899999999</v>
      </c>
      <c r="L93" s="26">
        <v>6089881.5899999999</v>
      </c>
      <c r="M93" s="26">
        <v>676653.5</v>
      </c>
      <c r="N93" s="24">
        <v>3</v>
      </c>
      <c r="O93" s="11">
        <v>0</v>
      </c>
    </row>
    <row r="94" spans="1:15" x14ac:dyDescent="0.25">
      <c r="A94" s="27" t="s">
        <v>0</v>
      </c>
      <c r="B94" s="18" t="s">
        <v>7</v>
      </c>
      <c r="C94" s="18" t="s">
        <v>8</v>
      </c>
      <c r="D94" s="18" t="s">
        <v>418</v>
      </c>
      <c r="E94" s="18" t="str">
        <f>RIGHT(Tabela2[[#This Row],[numero_convenio]],4)</f>
        <v>2024</v>
      </c>
      <c r="F94" s="23" t="s">
        <v>419</v>
      </c>
      <c r="G94" s="18" t="s">
        <v>420</v>
      </c>
      <c r="H94" s="17" t="s">
        <v>629</v>
      </c>
      <c r="I94" s="8">
        <v>45359</v>
      </c>
      <c r="J94" s="8">
        <v>46182</v>
      </c>
      <c r="K94" s="20">
        <v>6733199.7699999996</v>
      </c>
      <c r="L94" s="20">
        <v>6463871.7699999996</v>
      </c>
      <c r="M94" s="20">
        <v>269328</v>
      </c>
      <c r="N94" s="18">
        <v>3</v>
      </c>
      <c r="O94" s="11">
        <v>0</v>
      </c>
    </row>
    <row r="95" spans="1:15" x14ac:dyDescent="0.25">
      <c r="A95" s="24" t="s">
        <v>0</v>
      </c>
      <c r="B95" s="24" t="s">
        <v>421</v>
      </c>
      <c r="C95" s="24" t="s">
        <v>422</v>
      </c>
      <c r="D95" s="24" t="s">
        <v>423</v>
      </c>
      <c r="E95" s="24" t="str">
        <f>RIGHT(Tabela2[[#This Row],[numero_convenio]],4)</f>
        <v>2024</v>
      </c>
      <c r="F95" s="24" t="s">
        <v>424</v>
      </c>
      <c r="G95" s="24" t="s">
        <v>425</v>
      </c>
      <c r="H95" s="17" t="s">
        <v>629</v>
      </c>
      <c r="I95" s="25">
        <v>45386</v>
      </c>
      <c r="J95" s="25">
        <v>46300</v>
      </c>
      <c r="K95" s="26">
        <v>6866541.0599999996</v>
      </c>
      <c r="L95" s="26">
        <v>6523214.0099999998</v>
      </c>
      <c r="M95" s="26">
        <v>343327.05</v>
      </c>
      <c r="N95" s="24">
        <v>3</v>
      </c>
      <c r="O95" s="11">
        <v>0</v>
      </c>
    </row>
    <row r="96" spans="1:15" x14ac:dyDescent="0.25">
      <c r="A96" s="27" t="s">
        <v>0</v>
      </c>
      <c r="B96" s="18" t="s">
        <v>26</v>
      </c>
      <c r="C96" s="18" t="s">
        <v>27</v>
      </c>
      <c r="D96" s="18" t="s">
        <v>426</v>
      </c>
      <c r="E96" s="18" t="str">
        <f>RIGHT(Tabela2[[#This Row],[numero_convenio]],4)</f>
        <v>2024</v>
      </c>
      <c r="F96" s="23" t="s">
        <v>427</v>
      </c>
      <c r="G96" s="18" t="s">
        <v>428</v>
      </c>
      <c r="H96" s="17" t="s">
        <v>629</v>
      </c>
      <c r="I96" s="8">
        <v>45359</v>
      </c>
      <c r="J96" s="8">
        <v>46182</v>
      </c>
      <c r="K96" s="20">
        <v>6733199.7699999996</v>
      </c>
      <c r="L96" s="20">
        <v>6463871.7999999998</v>
      </c>
      <c r="M96" s="20">
        <v>269327.96999999997</v>
      </c>
      <c r="N96" s="18">
        <v>3</v>
      </c>
      <c r="O96" s="11">
        <v>0</v>
      </c>
    </row>
    <row r="97" spans="1:15" x14ac:dyDescent="0.25">
      <c r="A97" s="24" t="s">
        <v>0</v>
      </c>
      <c r="B97" s="24" t="s">
        <v>87</v>
      </c>
      <c r="C97" s="24" t="s">
        <v>88</v>
      </c>
      <c r="D97" s="24" t="s">
        <v>429</v>
      </c>
      <c r="E97" s="24" t="str">
        <f>RIGHT(Tabela2[[#This Row],[numero_convenio]],4)</f>
        <v>2024</v>
      </c>
      <c r="F97" s="23" t="s">
        <v>430</v>
      </c>
      <c r="G97" s="24" t="s">
        <v>431</v>
      </c>
      <c r="H97" s="17" t="s">
        <v>629</v>
      </c>
      <c r="I97" s="25">
        <v>45362</v>
      </c>
      <c r="J97" s="25">
        <v>46185</v>
      </c>
      <c r="K97" s="26">
        <v>6766535.0899999999</v>
      </c>
      <c r="L97" s="26">
        <v>6495873.6900000004</v>
      </c>
      <c r="M97" s="26">
        <v>270661.40000000002</v>
      </c>
      <c r="N97" s="24">
        <v>3</v>
      </c>
      <c r="O97" s="11">
        <v>0</v>
      </c>
    </row>
    <row r="98" spans="1:15" x14ac:dyDescent="0.25">
      <c r="A98" s="27" t="s">
        <v>0</v>
      </c>
      <c r="B98" s="18" t="s">
        <v>432</v>
      </c>
      <c r="C98" s="18" t="s">
        <v>433</v>
      </c>
      <c r="D98" s="18" t="s">
        <v>434</v>
      </c>
      <c r="E98" s="18" t="str">
        <f>RIGHT(Tabela2[[#This Row],[numero_convenio]],4)</f>
        <v>2024</v>
      </c>
      <c r="F98" s="23" t="s">
        <v>435</v>
      </c>
      <c r="G98" s="18" t="s">
        <v>436</v>
      </c>
      <c r="H98" s="19" t="s">
        <v>629</v>
      </c>
      <c r="I98" s="8">
        <v>45362</v>
      </c>
      <c r="J98" s="8">
        <v>46185</v>
      </c>
      <c r="K98" s="20">
        <v>6733199.7699999996</v>
      </c>
      <c r="L98" s="20">
        <v>6463871.7800000003</v>
      </c>
      <c r="M98" s="20">
        <v>269327.99</v>
      </c>
      <c r="N98" s="18">
        <v>3</v>
      </c>
      <c r="O98" s="11">
        <v>0</v>
      </c>
    </row>
    <row r="99" spans="1:15" x14ac:dyDescent="0.25">
      <c r="A99" s="24" t="s">
        <v>0</v>
      </c>
      <c r="B99" s="24" t="s">
        <v>437</v>
      </c>
      <c r="C99" s="24" t="s">
        <v>438</v>
      </c>
      <c r="D99" s="24" t="s">
        <v>439</v>
      </c>
      <c r="E99" s="24" t="str">
        <f>RIGHT(Tabela2[[#This Row],[numero_convenio]],4)</f>
        <v>2024</v>
      </c>
      <c r="F99" s="23" t="s">
        <v>440</v>
      </c>
      <c r="G99" s="24" t="s">
        <v>441</v>
      </c>
      <c r="H99" s="17" t="s">
        <v>629</v>
      </c>
      <c r="I99" s="25">
        <v>45407</v>
      </c>
      <c r="J99" s="25">
        <v>46321</v>
      </c>
      <c r="K99" s="26">
        <v>6733199.7699999996</v>
      </c>
      <c r="L99" s="26">
        <v>6463871.7999999998</v>
      </c>
      <c r="M99" s="26">
        <v>269327.96999999997</v>
      </c>
      <c r="N99" s="24">
        <v>3</v>
      </c>
      <c r="O99" s="11">
        <v>0</v>
      </c>
    </row>
    <row r="100" spans="1:15" x14ac:dyDescent="0.25">
      <c r="A100" s="27" t="s">
        <v>0</v>
      </c>
      <c r="B100" s="18" t="s">
        <v>100</v>
      </c>
      <c r="C100" s="18" t="s">
        <v>101</v>
      </c>
      <c r="D100" s="18" t="s">
        <v>442</v>
      </c>
      <c r="E100" s="18" t="str">
        <f>RIGHT(Tabela2[[#This Row],[numero_convenio]],4)</f>
        <v>2024</v>
      </c>
      <c r="F100" s="18" t="s">
        <v>383</v>
      </c>
      <c r="G100" s="18" t="s">
        <v>443</v>
      </c>
      <c r="H100" s="19" t="s">
        <v>629</v>
      </c>
      <c r="I100" s="8">
        <v>45373</v>
      </c>
      <c r="J100" s="8">
        <v>46196</v>
      </c>
      <c r="K100" s="20">
        <v>6733199.7699999996</v>
      </c>
      <c r="L100" s="20">
        <v>6463871.7699999996</v>
      </c>
      <c r="M100" s="20">
        <v>269328</v>
      </c>
      <c r="N100" s="18">
        <v>3</v>
      </c>
      <c r="O100" s="11">
        <v>0</v>
      </c>
    </row>
    <row r="101" spans="1:15" x14ac:dyDescent="0.25">
      <c r="A101" s="24" t="s">
        <v>0</v>
      </c>
      <c r="B101" s="24" t="s">
        <v>444</v>
      </c>
      <c r="C101" s="24" t="s">
        <v>445</v>
      </c>
      <c r="D101" s="24" t="s">
        <v>446</v>
      </c>
      <c r="E101" s="24" t="str">
        <f>RIGHT(Tabela2[[#This Row],[numero_convenio]],4)</f>
        <v>2024</v>
      </c>
      <c r="F101" s="24" t="s">
        <v>447</v>
      </c>
      <c r="G101" s="24" t="s">
        <v>448</v>
      </c>
      <c r="H101" s="17" t="s">
        <v>629</v>
      </c>
      <c r="I101" s="25">
        <v>45428</v>
      </c>
      <c r="J101" s="25">
        <v>46159</v>
      </c>
      <c r="K101" s="26">
        <v>2978833.7</v>
      </c>
      <c r="L101" s="26">
        <v>2800102.7</v>
      </c>
      <c r="M101" s="26">
        <v>178731</v>
      </c>
      <c r="N101" s="24">
        <v>4</v>
      </c>
      <c r="O101" s="11">
        <v>0</v>
      </c>
    </row>
    <row r="102" spans="1:15" x14ac:dyDescent="0.25">
      <c r="A102" s="27" t="s">
        <v>0</v>
      </c>
      <c r="B102" s="18" t="s">
        <v>444</v>
      </c>
      <c r="C102" s="18" t="s">
        <v>445</v>
      </c>
      <c r="D102" s="18" t="s">
        <v>449</v>
      </c>
      <c r="E102" s="18" t="str">
        <f>RIGHT(Tabela2[[#This Row],[numero_convenio]],4)</f>
        <v>2024</v>
      </c>
      <c r="F102" s="18" t="s">
        <v>450</v>
      </c>
      <c r="G102" s="18" t="s">
        <v>451</v>
      </c>
      <c r="H102" s="19" t="s">
        <v>629</v>
      </c>
      <c r="I102" s="8">
        <v>45428</v>
      </c>
      <c r="J102" s="8">
        <v>46159</v>
      </c>
      <c r="K102" s="20">
        <v>4815813.57</v>
      </c>
      <c r="L102" s="20">
        <v>4526864.57</v>
      </c>
      <c r="M102" s="20">
        <v>288949</v>
      </c>
      <c r="N102" s="18">
        <v>4</v>
      </c>
      <c r="O102" s="11">
        <v>0</v>
      </c>
    </row>
    <row r="103" spans="1:15" x14ac:dyDescent="0.25">
      <c r="A103" s="24" t="s">
        <v>0</v>
      </c>
      <c r="B103" s="24" t="s">
        <v>452</v>
      </c>
      <c r="C103" s="24" t="s">
        <v>453</v>
      </c>
      <c r="D103" s="24" t="s">
        <v>454</v>
      </c>
      <c r="E103" s="24" t="str">
        <f>RIGHT(Tabela2[[#This Row],[numero_convenio]],4)</f>
        <v>2024</v>
      </c>
      <c r="F103" s="24" t="s">
        <v>455</v>
      </c>
      <c r="G103" s="24" t="s">
        <v>456</v>
      </c>
      <c r="H103" s="17" t="s">
        <v>629</v>
      </c>
      <c r="I103" s="25">
        <v>45378</v>
      </c>
      <c r="J103" s="25">
        <v>46201</v>
      </c>
      <c r="K103" s="26">
        <v>10267612.310000001</v>
      </c>
      <c r="L103" s="26">
        <v>9754231.6899999995</v>
      </c>
      <c r="M103" s="26">
        <v>513380.62</v>
      </c>
      <c r="N103" s="24">
        <v>3</v>
      </c>
      <c r="O103" s="11">
        <v>0</v>
      </c>
    </row>
    <row r="104" spans="1:15" x14ac:dyDescent="0.25">
      <c r="A104" s="27" t="s">
        <v>0</v>
      </c>
      <c r="B104" s="18" t="s">
        <v>1</v>
      </c>
      <c r="C104" s="18" t="s">
        <v>2</v>
      </c>
      <c r="D104" s="18" t="s">
        <v>457</v>
      </c>
      <c r="E104" s="18" t="str">
        <f>RIGHT(Tabela2[[#This Row],[numero_convenio]],4)</f>
        <v>2024</v>
      </c>
      <c r="F104" s="18" t="s">
        <v>458</v>
      </c>
      <c r="G104" s="18" t="s">
        <v>459</v>
      </c>
      <c r="H104" s="19" t="s">
        <v>629</v>
      </c>
      <c r="I104" s="8">
        <v>45457</v>
      </c>
      <c r="J104" s="8">
        <v>46188</v>
      </c>
      <c r="K104" s="20">
        <v>4522636.47</v>
      </c>
      <c r="L104" s="20">
        <v>4341731</v>
      </c>
      <c r="M104" s="20">
        <v>180905.47</v>
      </c>
      <c r="N104" s="18">
        <v>4</v>
      </c>
      <c r="O104" s="11">
        <v>0</v>
      </c>
    </row>
    <row r="105" spans="1:15" x14ac:dyDescent="0.25">
      <c r="A105" s="24" t="s">
        <v>0</v>
      </c>
      <c r="B105" s="24" t="s">
        <v>460</v>
      </c>
      <c r="C105" s="24" t="s">
        <v>461</v>
      </c>
      <c r="D105" s="24" t="s">
        <v>462</v>
      </c>
      <c r="E105" s="24" t="str">
        <f>RIGHT(Tabela2[[#This Row],[numero_convenio]],4)</f>
        <v>2024</v>
      </c>
      <c r="F105" s="23" t="s">
        <v>463</v>
      </c>
      <c r="G105" s="24" t="s">
        <v>464</v>
      </c>
      <c r="H105" s="17" t="s">
        <v>629</v>
      </c>
      <c r="I105" s="25">
        <v>45407</v>
      </c>
      <c r="J105" s="25">
        <v>46321</v>
      </c>
      <c r="K105" s="26">
        <v>6733199.7699999996</v>
      </c>
      <c r="L105" s="26">
        <v>6463871.7699999996</v>
      </c>
      <c r="M105" s="26">
        <v>269328</v>
      </c>
      <c r="N105" s="24">
        <v>3</v>
      </c>
      <c r="O105" s="11">
        <v>0</v>
      </c>
    </row>
    <row r="106" spans="1:15" x14ac:dyDescent="0.25">
      <c r="A106" s="27" t="s">
        <v>0</v>
      </c>
      <c r="B106" s="18" t="s">
        <v>465</v>
      </c>
      <c r="C106" s="18" t="s">
        <v>466</v>
      </c>
      <c r="D106" s="18" t="s">
        <v>467</v>
      </c>
      <c r="E106" s="18" t="str">
        <f>RIGHT(Tabela2[[#This Row],[numero_convenio]],4)</f>
        <v>2024</v>
      </c>
      <c r="F106" s="28" t="s">
        <v>468</v>
      </c>
      <c r="G106" s="18" t="s">
        <v>469</v>
      </c>
      <c r="H106" s="17" t="s">
        <v>629</v>
      </c>
      <c r="I106" s="8">
        <v>45428</v>
      </c>
      <c r="J106" s="8">
        <v>46343</v>
      </c>
      <c r="K106" s="20">
        <v>6733199.7699999996</v>
      </c>
      <c r="L106" s="20">
        <v>6463871.7699999996</v>
      </c>
      <c r="M106" s="20">
        <v>269328</v>
      </c>
      <c r="N106" s="18">
        <v>3</v>
      </c>
      <c r="O106" s="11">
        <v>0</v>
      </c>
    </row>
    <row r="107" spans="1:15" x14ac:dyDescent="0.25">
      <c r="A107" s="24" t="s">
        <v>0</v>
      </c>
      <c r="B107" s="24" t="s">
        <v>470</v>
      </c>
      <c r="C107" s="24" t="s">
        <v>471</v>
      </c>
      <c r="D107" s="24" t="s">
        <v>472</v>
      </c>
      <c r="E107" s="24" t="str">
        <f>RIGHT(Tabela2[[#This Row],[numero_convenio]],4)</f>
        <v>2024</v>
      </c>
      <c r="F107" s="23" t="s">
        <v>473</v>
      </c>
      <c r="G107" s="24" t="s">
        <v>474</v>
      </c>
      <c r="H107" s="17" t="s">
        <v>629</v>
      </c>
      <c r="I107" s="25">
        <v>45440</v>
      </c>
      <c r="J107" s="25">
        <v>46263</v>
      </c>
      <c r="K107" s="26">
        <v>7538159.6500000004</v>
      </c>
      <c r="L107" s="26">
        <v>7236633.25</v>
      </c>
      <c r="M107" s="26">
        <v>301526.40000000002</v>
      </c>
      <c r="N107" s="24">
        <v>3</v>
      </c>
      <c r="O107" s="11">
        <v>0</v>
      </c>
    </row>
    <row r="108" spans="1:15" x14ac:dyDescent="0.25">
      <c r="A108" s="27" t="s">
        <v>0</v>
      </c>
      <c r="B108" s="18" t="s">
        <v>475</v>
      </c>
      <c r="C108" s="18" t="s">
        <v>476</v>
      </c>
      <c r="D108" s="18" t="s">
        <v>477</v>
      </c>
      <c r="E108" s="18" t="str">
        <f>RIGHT(Tabela2[[#This Row],[numero_convenio]],4)</f>
        <v>2024</v>
      </c>
      <c r="F108" s="18" t="s">
        <v>478</v>
      </c>
      <c r="G108" s="18" t="s">
        <v>479</v>
      </c>
      <c r="H108" s="19" t="s">
        <v>629</v>
      </c>
      <c r="I108" s="8">
        <v>45475</v>
      </c>
      <c r="J108" s="8">
        <v>46206</v>
      </c>
      <c r="K108" s="20">
        <v>1361476.58</v>
      </c>
      <c r="L108" s="20">
        <v>1287976.58</v>
      </c>
      <c r="M108" s="20">
        <v>73500</v>
      </c>
      <c r="N108" s="18">
        <v>1</v>
      </c>
      <c r="O108" s="11">
        <v>0</v>
      </c>
    </row>
    <row r="109" spans="1:15" x14ac:dyDescent="0.25">
      <c r="A109" s="24" t="s">
        <v>0</v>
      </c>
      <c r="B109" s="24" t="s">
        <v>480</v>
      </c>
      <c r="C109" s="24" t="s">
        <v>481</v>
      </c>
      <c r="D109" s="24" t="s">
        <v>482</v>
      </c>
      <c r="E109" s="24" t="str">
        <f>RIGHT(Tabela2[[#This Row],[numero_convenio]],4)</f>
        <v>2024</v>
      </c>
      <c r="F109" s="24" t="s">
        <v>483</v>
      </c>
      <c r="G109" s="24" t="s">
        <v>484</v>
      </c>
      <c r="H109" s="17" t="s">
        <v>629</v>
      </c>
      <c r="I109" s="25">
        <v>45439</v>
      </c>
      <c r="J109" s="25">
        <v>46354</v>
      </c>
      <c r="K109" s="26">
        <v>7919384.8899999997</v>
      </c>
      <c r="L109" s="26">
        <v>7602609.4900000002</v>
      </c>
      <c r="M109" s="26">
        <v>316775.40000000002</v>
      </c>
      <c r="N109" s="24">
        <v>6</v>
      </c>
      <c r="O109" s="11">
        <v>0</v>
      </c>
    </row>
    <row r="110" spans="1:15" x14ac:dyDescent="0.25">
      <c r="A110" s="27" t="s">
        <v>0</v>
      </c>
      <c r="B110" s="18" t="s">
        <v>470</v>
      </c>
      <c r="C110" s="18" t="s">
        <v>471</v>
      </c>
      <c r="D110" s="18" t="s">
        <v>485</v>
      </c>
      <c r="E110" s="18" t="str">
        <f>RIGHT(Tabela2[[#This Row],[numero_convenio]],4)</f>
        <v>2024</v>
      </c>
      <c r="F110" s="18" t="s">
        <v>486</v>
      </c>
      <c r="G110" s="18" t="s">
        <v>487</v>
      </c>
      <c r="H110" s="19" t="s">
        <v>629</v>
      </c>
      <c r="I110" s="8">
        <v>45440</v>
      </c>
      <c r="J110" s="8">
        <v>46263</v>
      </c>
      <c r="K110" s="20">
        <v>9644036.5700000003</v>
      </c>
      <c r="L110" s="20">
        <v>9258275.1099999994</v>
      </c>
      <c r="M110" s="20">
        <v>385761.46</v>
      </c>
      <c r="N110" s="18">
        <v>8</v>
      </c>
      <c r="O110" s="11">
        <v>0</v>
      </c>
    </row>
    <row r="111" spans="1:15" x14ac:dyDescent="0.25">
      <c r="A111" s="24" t="s">
        <v>0</v>
      </c>
      <c r="B111" s="12" t="s">
        <v>642</v>
      </c>
      <c r="C111" s="24" t="s">
        <v>289</v>
      </c>
      <c r="D111" s="24" t="s">
        <v>488</v>
      </c>
      <c r="E111" s="24" t="str">
        <f>RIGHT(Tabela2[[#This Row],[numero_convenio]],4)</f>
        <v>2024</v>
      </c>
      <c r="F111" s="24" t="s">
        <v>489</v>
      </c>
      <c r="G111" s="24" t="s">
        <v>490</v>
      </c>
      <c r="H111" s="17" t="s">
        <v>629</v>
      </c>
      <c r="I111" s="25">
        <v>45447</v>
      </c>
      <c r="J111" s="25">
        <v>46270</v>
      </c>
      <c r="K111" s="26">
        <v>5987622.7699999996</v>
      </c>
      <c r="L111" s="26">
        <v>5748117.8399999999</v>
      </c>
      <c r="M111" s="26">
        <v>239504.93</v>
      </c>
      <c r="N111" s="24">
        <v>4</v>
      </c>
      <c r="O111" s="11">
        <v>0</v>
      </c>
    </row>
    <row r="112" spans="1:15" x14ac:dyDescent="0.25">
      <c r="A112" s="27" t="s">
        <v>0</v>
      </c>
      <c r="B112" s="18" t="s">
        <v>350</v>
      </c>
      <c r="C112" s="18" t="s">
        <v>491</v>
      </c>
      <c r="D112" s="18" t="s">
        <v>492</v>
      </c>
      <c r="E112" s="18" t="str">
        <f>RIGHT(Tabela2[[#This Row],[numero_convenio]],4)</f>
        <v>2024</v>
      </c>
      <c r="F112" s="18" t="s">
        <v>493</v>
      </c>
      <c r="G112" s="18" t="s">
        <v>494</v>
      </c>
      <c r="H112" s="19" t="s">
        <v>629</v>
      </c>
      <c r="I112" s="8">
        <v>45440</v>
      </c>
      <c r="J112" s="8">
        <v>46171</v>
      </c>
      <c r="K112" s="20">
        <v>7597380.0999999996</v>
      </c>
      <c r="L112" s="20">
        <v>7293484.9000000004</v>
      </c>
      <c r="M112" s="20">
        <v>303895.2</v>
      </c>
      <c r="N112" s="18">
        <v>3</v>
      </c>
      <c r="O112" s="11">
        <v>0</v>
      </c>
    </row>
    <row r="113" spans="1:15" x14ac:dyDescent="0.25">
      <c r="A113" s="24" t="s">
        <v>0</v>
      </c>
      <c r="B113" s="24" t="s">
        <v>642</v>
      </c>
      <c r="C113" s="24" t="s">
        <v>289</v>
      </c>
      <c r="D113" s="24" t="s">
        <v>495</v>
      </c>
      <c r="E113" s="24" t="str">
        <f>RIGHT(Tabela2[[#This Row],[numero_convenio]],4)</f>
        <v>2024</v>
      </c>
      <c r="F113" s="24" t="s">
        <v>496</v>
      </c>
      <c r="G113" s="24" t="s">
        <v>497</v>
      </c>
      <c r="H113" s="17" t="s">
        <v>629</v>
      </c>
      <c r="I113" s="25">
        <v>45440</v>
      </c>
      <c r="J113" s="25">
        <v>46355</v>
      </c>
      <c r="K113" s="26">
        <v>7085292.8899999997</v>
      </c>
      <c r="L113" s="26">
        <v>6801881.1200000001</v>
      </c>
      <c r="M113" s="26">
        <v>283411.77</v>
      </c>
      <c r="N113" s="24">
        <v>4</v>
      </c>
      <c r="O113" s="11">
        <v>0</v>
      </c>
    </row>
    <row r="114" spans="1:15" x14ac:dyDescent="0.25">
      <c r="A114" s="27" t="s">
        <v>0</v>
      </c>
      <c r="B114" s="18" t="s">
        <v>189</v>
      </c>
      <c r="C114" s="18" t="s">
        <v>190</v>
      </c>
      <c r="D114" s="18" t="s">
        <v>498</v>
      </c>
      <c r="E114" s="18" t="str">
        <f>RIGHT(Tabela2[[#This Row],[numero_convenio]],4)</f>
        <v>2024</v>
      </c>
      <c r="F114" s="18" t="s">
        <v>499</v>
      </c>
      <c r="G114" s="18" t="s">
        <v>500</v>
      </c>
      <c r="H114" s="19" t="s">
        <v>629</v>
      </c>
      <c r="I114" s="8">
        <v>45447</v>
      </c>
      <c r="J114" s="8">
        <v>46270</v>
      </c>
      <c r="K114" s="20">
        <v>5936392.6299999999</v>
      </c>
      <c r="L114" s="20">
        <v>5698936.9299999997</v>
      </c>
      <c r="M114" s="20">
        <v>237455.7</v>
      </c>
      <c r="N114" s="18">
        <v>3</v>
      </c>
      <c r="O114" s="11">
        <v>0</v>
      </c>
    </row>
    <row r="115" spans="1:15" x14ac:dyDescent="0.25">
      <c r="A115" s="24" t="s">
        <v>0</v>
      </c>
      <c r="B115" s="24" t="s">
        <v>641</v>
      </c>
      <c r="C115" s="24" t="s">
        <v>501</v>
      </c>
      <c r="D115" s="24" t="s">
        <v>502</v>
      </c>
      <c r="E115" s="24" t="str">
        <f>RIGHT(Tabela2[[#This Row],[numero_convenio]],4)</f>
        <v>2024</v>
      </c>
      <c r="F115" s="24" t="s">
        <v>503</v>
      </c>
      <c r="G115" s="24" t="s">
        <v>504</v>
      </c>
      <c r="H115" s="17" t="s">
        <v>629</v>
      </c>
      <c r="I115" s="25">
        <v>45448</v>
      </c>
      <c r="J115" s="25">
        <v>46118</v>
      </c>
      <c r="K115" s="26">
        <v>6098569.0300000003</v>
      </c>
      <c r="L115" s="26">
        <v>5854626.2599999998</v>
      </c>
      <c r="M115" s="26">
        <v>243942.77</v>
      </c>
      <c r="N115" s="24">
        <v>2</v>
      </c>
      <c r="O115" s="11">
        <v>0</v>
      </c>
    </row>
    <row r="116" spans="1:15" x14ac:dyDescent="0.25">
      <c r="A116" s="27" t="s">
        <v>0</v>
      </c>
      <c r="B116" s="18" t="s">
        <v>505</v>
      </c>
      <c r="C116" s="18" t="s">
        <v>506</v>
      </c>
      <c r="D116" s="18" t="s">
        <v>507</v>
      </c>
      <c r="E116" s="18" t="str">
        <f>RIGHT(Tabela2[[#This Row],[numero_convenio]],4)</f>
        <v>2024</v>
      </c>
      <c r="F116" s="18" t="s">
        <v>508</v>
      </c>
      <c r="G116" s="18" t="s">
        <v>509</v>
      </c>
      <c r="H116" s="19" t="s">
        <v>629</v>
      </c>
      <c r="I116" s="8">
        <v>45471</v>
      </c>
      <c r="J116" s="8">
        <v>46202</v>
      </c>
      <c r="K116" s="20">
        <v>10111644.16</v>
      </c>
      <c r="L116" s="20">
        <v>9606061.9499999993</v>
      </c>
      <c r="M116" s="20">
        <v>505582.21</v>
      </c>
      <c r="N116" s="18">
        <v>7</v>
      </c>
      <c r="O116" s="11">
        <v>0</v>
      </c>
    </row>
    <row r="117" spans="1:15" x14ac:dyDescent="0.25">
      <c r="A117" s="24" t="s">
        <v>0</v>
      </c>
      <c r="B117" s="24" t="s">
        <v>158</v>
      </c>
      <c r="C117" s="24" t="s">
        <v>159</v>
      </c>
      <c r="D117" s="24" t="s">
        <v>510</v>
      </c>
      <c r="E117" s="24" t="str">
        <f>RIGHT(Tabela2[[#This Row],[numero_convenio]],4)</f>
        <v>2024</v>
      </c>
      <c r="F117" s="23" t="s">
        <v>511</v>
      </c>
      <c r="G117" s="24" t="s">
        <v>512</v>
      </c>
      <c r="H117" s="17" t="s">
        <v>629</v>
      </c>
      <c r="I117" s="25">
        <v>45464</v>
      </c>
      <c r="J117" s="25">
        <v>46287</v>
      </c>
      <c r="K117" s="26">
        <v>6733199.7699999996</v>
      </c>
      <c r="L117" s="26">
        <v>6396539.7699999996</v>
      </c>
      <c r="M117" s="26">
        <v>336660</v>
      </c>
      <c r="N117" s="24">
        <v>3</v>
      </c>
      <c r="O117" s="11">
        <v>0</v>
      </c>
    </row>
    <row r="118" spans="1:15" x14ac:dyDescent="0.25">
      <c r="A118" s="27" t="s">
        <v>0</v>
      </c>
      <c r="B118" s="18" t="s">
        <v>189</v>
      </c>
      <c r="C118" s="18" t="s">
        <v>190</v>
      </c>
      <c r="D118" s="18" t="s">
        <v>513</v>
      </c>
      <c r="E118" s="18" t="str">
        <f>RIGHT(Tabela2[[#This Row],[numero_convenio]],4)</f>
        <v>2024</v>
      </c>
      <c r="F118" s="18" t="s">
        <v>514</v>
      </c>
      <c r="G118" s="18" t="s">
        <v>515</v>
      </c>
      <c r="H118" s="19" t="s">
        <v>629</v>
      </c>
      <c r="I118" s="8">
        <v>45457</v>
      </c>
      <c r="J118" s="8">
        <v>46280</v>
      </c>
      <c r="K118" s="20">
        <v>7905250.0099999998</v>
      </c>
      <c r="L118" s="20">
        <v>7589040.0099999998</v>
      </c>
      <c r="M118" s="20">
        <v>316210</v>
      </c>
      <c r="N118" s="18">
        <v>3</v>
      </c>
      <c r="O118" s="11">
        <v>0</v>
      </c>
    </row>
    <row r="119" spans="1:15" x14ac:dyDescent="0.25">
      <c r="A119" s="24" t="s">
        <v>0</v>
      </c>
      <c r="B119" s="24" t="s">
        <v>516</v>
      </c>
      <c r="C119" s="24" t="s">
        <v>517</v>
      </c>
      <c r="D119" s="24" t="s">
        <v>518</v>
      </c>
      <c r="E119" s="24" t="str">
        <f>RIGHT(Tabela2[[#This Row],[numero_convenio]],4)</f>
        <v>2024</v>
      </c>
      <c r="F119" s="23" t="s">
        <v>519</v>
      </c>
      <c r="G119" s="24" t="s">
        <v>520</v>
      </c>
      <c r="H119" s="17" t="s">
        <v>629</v>
      </c>
      <c r="I119" s="25">
        <v>45464</v>
      </c>
      <c r="J119" s="25">
        <v>46287</v>
      </c>
      <c r="K119" s="26">
        <v>6733199.7699999996</v>
      </c>
      <c r="L119" s="26">
        <v>6463871.7800000003</v>
      </c>
      <c r="M119" s="26">
        <v>269327.99</v>
      </c>
      <c r="N119" s="24">
        <v>3</v>
      </c>
      <c r="O119" s="11">
        <v>0</v>
      </c>
    </row>
    <row r="120" spans="1:15" x14ac:dyDescent="0.25">
      <c r="A120" s="27" t="s">
        <v>0</v>
      </c>
      <c r="B120" s="18" t="s">
        <v>315</v>
      </c>
      <c r="C120" s="18" t="s">
        <v>316</v>
      </c>
      <c r="D120" s="18" t="s">
        <v>521</v>
      </c>
      <c r="E120" s="18" t="str">
        <f>RIGHT(Tabela2[[#This Row],[numero_convenio]],4)</f>
        <v>2024</v>
      </c>
      <c r="F120" s="18" t="s">
        <v>522</v>
      </c>
      <c r="G120" s="18" t="s">
        <v>523</v>
      </c>
      <c r="H120" s="19" t="s">
        <v>629</v>
      </c>
      <c r="I120" s="8">
        <v>45474</v>
      </c>
      <c r="J120" s="8">
        <v>46297</v>
      </c>
      <c r="K120" s="20">
        <v>7433497.3700000001</v>
      </c>
      <c r="L120" s="20">
        <v>7136157.4699999997</v>
      </c>
      <c r="M120" s="20">
        <v>297339.90000000002</v>
      </c>
      <c r="N120" s="18">
        <v>7</v>
      </c>
      <c r="O120" s="11">
        <v>0</v>
      </c>
    </row>
    <row r="121" spans="1:15" x14ac:dyDescent="0.25">
      <c r="A121" s="24" t="s">
        <v>0</v>
      </c>
      <c r="B121" s="24" t="s">
        <v>315</v>
      </c>
      <c r="C121" s="24" t="s">
        <v>316</v>
      </c>
      <c r="D121" s="24" t="s">
        <v>524</v>
      </c>
      <c r="E121" s="24" t="str">
        <f>RIGHT(Tabela2[[#This Row],[numero_convenio]],4)</f>
        <v>2024</v>
      </c>
      <c r="F121" s="24" t="s">
        <v>525</v>
      </c>
      <c r="G121" s="24" t="s">
        <v>526</v>
      </c>
      <c r="H121" s="17" t="s">
        <v>629</v>
      </c>
      <c r="I121" s="25">
        <v>45471</v>
      </c>
      <c r="J121" s="25">
        <v>46385</v>
      </c>
      <c r="K121" s="26">
        <v>8109449.7199999997</v>
      </c>
      <c r="L121" s="26">
        <v>7785071.7199999997</v>
      </c>
      <c r="M121" s="26">
        <v>324378</v>
      </c>
      <c r="N121" s="24">
        <v>7</v>
      </c>
      <c r="O121" s="11">
        <v>0</v>
      </c>
    </row>
    <row r="122" spans="1:15" x14ac:dyDescent="0.25">
      <c r="A122" s="27" t="s">
        <v>0</v>
      </c>
      <c r="B122" s="18" t="s">
        <v>527</v>
      </c>
      <c r="C122" s="18" t="s">
        <v>528</v>
      </c>
      <c r="D122" s="18" t="s">
        <v>529</v>
      </c>
      <c r="E122" s="18" t="str">
        <f>RIGHT(Tabela2[[#This Row],[numero_convenio]],4)</f>
        <v>2024</v>
      </c>
      <c r="F122" s="23" t="s">
        <v>530</v>
      </c>
      <c r="G122" s="18" t="s">
        <v>531</v>
      </c>
      <c r="H122" s="19" t="s">
        <v>629</v>
      </c>
      <c r="I122" s="8">
        <v>45464</v>
      </c>
      <c r="J122" s="8">
        <v>46287</v>
      </c>
      <c r="K122" s="20">
        <v>6733199.7699999996</v>
      </c>
      <c r="L122" s="20">
        <v>6463871.7800000003</v>
      </c>
      <c r="M122" s="20">
        <v>269327.99</v>
      </c>
      <c r="N122" s="18">
        <v>3</v>
      </c>
      <c r="O122" s="11">
        <v>0</v>
      </c>
    </row>
    <row r="123" spans="1:15" x14ac:dyDescent="0.25">
      <c r="A123" s="24" t="s">
        <v>0</v>
      </c>
      <c r="B123" s="24" t="s">
        <v>532</v>
      </c>
      <c r="C123" s="24" t="s">
        <v>533</v>
      </c>
      <c r="D123" s="24" t="s">
        <v>534</v>
      </c>
      <c r="E123" s="24" t="str">
        <f>RIGHT(Tabela2[[#This Row],[numero_convenio]],4)</f>
        <v>2024</v>
      </c>
      <c r="F123" s="23" t="s">
        <v>535</v>
      </c>
      <c r="G123" s="24" t="s">
        <v>536</v>
      </c>
      <c r="H123" s="17" t="s">
        <v>629</v>
      </c>
      <c r="I123" s="25">
        <v>45464</v>
      </c>
      <c r="J123" s="25">
        <v>46378</v>
      </c>
      <c r="K123" s="26">
        <v>6733199.7699999996</v>
      </c>
      <c r="L123" s="26">
        <v>6463871.7699999996</v>
      </c>
      <c r="M123" s="26">
        <v>269328</v>
      </c>
      <c r="N123" s="24">
        <v>3</v>
      </c>
      <c r="O123" s="11">
        <v>0</v>
      </c>
    </row>
    <row r="124" spans="1:15" x14ac:dyDescent="0.25">
      <c r="A124" s="27" t="s">
        <v>0</v>
      </c>
      <c r="B124" s="18" t="s">
        <v>62</v>
      </c>
      <c r="C124" s="18" t="s">
        <v>63</v>
      </c>
      <c r="D124" s="18" t="s">
        <v>537</v>
      </c>
      <c r="E124" s="18" t="str">
        <f>RIGHT(Tabela2[[#This Row],[numero_convenio]],4)</f>
        <v>2024</v>
      </c>
      <c r="F124" s="18" t="s">
        <v>538</v>
      </c>
      <c r="G124" s="18" t="s">
        <v>539</v>
      </c>
      <c r="H124" s="19" t="s">
        <v>629</v>
      </c>
      <c r="I124" s="8">
        <v>45471</v>
      </c>
      <c r="J124" s="8">
        <v>46294</v>
      </c>
      <c r="K124" s="20">
        <v>8549857.9499999993</v>
      </c>
      <c r="L124" s="20">
        <v>7694872.1500000004</v>
      </c>
      <c r="M124" s="20">
        <v>854985.8</v>
      </c>
      <c r="N124" s="18">
        <v>6</v>
      </c>
      <c r="O124" s="11">
        <v>0</v>
      </c>
    </row>
    <row r="125" spans="1:15" x14ac:dyDescent="0.25">
      <c r="A125" s="24" t="s">
        <v>0</v>
      </c>
      <c r="B125" s="24" t="s">
        <v>540</v>
      </c>
      <c r="C125" s="24" t="s">
        <v>541</v>
      </c>
      <c r="D125" s="24" t="s">
        <v>542</v>
      </c>
      <c r="E125" s="24" t="str">
        <f>RIGHT(Tabela2[[#This Row],[numero_convenio]],4)</f>
        <v>2024</v>
      </c>
      <c r="F125" s="24" t="s">
        <v>543</v>
      </c>
      <c r="G125" s="24" t="s">
        <v>544</v>
      </c>
      <c r="H125" s="17" t="s">
        <v>629</v>
      </c>
      <c r="I125" s="25">
        <v>45471</v>
      </c>
      <c r="J125" s="25">
        <v>46202</v>
      </c>
      <c r="K125" s="26">
        <v>4451199.25</v>
      </c>
      <c r="L125" s="26">
        <v>4273151.28</v>
      </c>
      <c r="M125" s="26">
        <v>178047.97</v>
      </c>
      <c r="N125" s="24">
        <v>7</v>
      </c>
      <c r="O125" s="11">
        <v>0</v>
      </c>
    </row>
    <row r="126" spans="1:15" x14ac:dyDescent="0.25">
      <c r="A126" s="27" t="s">
        <v>0</v>
      </c>
      <c r="B126" s="18" t="s">
        <v>540</v>
      </c>
      <c r="C126" s="18" t="s">
        <v>541</v>
      </c>
      <c r="D126" s="18" t="s">
        <v>545</v>
      </c>
      <c r="E126" s="18" t="str">
        <f>RIGHT(Tabela2[[#This Row],[numero_convenio]],4)</f>
        <v>2024</v>
      </c>
      <c r="F126" s="18" t="s">
        <v>546</v>
      </c>
      <c r="G126" s="18" t="s">
        <v>547</v>
      </c>
      <c r="H126" s="19" t="s">
        <v>629</v>
      </c>
      <c r="I126" s="8">
        <v>45471</v>
      </c>
      <c r="J126" s="8">
        <v>46199</v>
      </c>
      <c r="K126" s="20">
        <v>448663.59</v>
      </c>
      <c r="L126" s="20">
        <v>430717.05</v>
      </c>
      <c r="M126" s="20">
        <v>17946.54</v>
      </c>
      <c r="N126" s="18">
        <v>3</v>
      </c>
      <c r="O126" s="11">
        <v>0</v>
      </c>
    </row>
    <row r="127" spans="1:15" x14ac:dyDescent="0.25">
      <c r="A127" s="24" t="s">
        <v>0</v>
      </c>
      <c r="B127" s="24" t="s">
        <v>330</v>
      </c>
      <c r="C127" s="24" t="s">
        <v>331</v>
      </c>
      <c r="D127" s="24" t="s">
        <v>548</v>
      </c>
      <c r="E127" s="24" t="str">
        <f>RIGHT(Tabela2[[#This Row],[numero_convenio]],4)</f>
        <v>2024</v>
      </c>
      <c r="F127" s="24" t="s">
        <v>549</v>
      </c>
      <c r="G127" s="24" t="s">
        <v>550</v>
      </c>
      <c r="H127" s="17" t="s">
        <v>629</v>
      </c>
      <c r="I127" s="25">
        <v>45471</v>
      </c>
      <c r="J127" s="25">
        <v>46294</v>
      </c>
      <c r="K127" s="26">
        <v>6669499.3600000003</v>
      </c>
      <c r="L127" s="26">
        <v>6402719.3799999999</v>
      </c>
      <c r="M127" s="26">
        <v>266779.98</v>
      </c>
      <c r="N127" s="24">
        <v>6</v>
      </c>
      <c r="O127" s="11">
        <v>0</v>
      </c>
    </row>
    <row r="128" spans="1:15" x14ac:dyDescent="0.25">
      <c r="A128" s="27" t="s">
        <v>0</v>
      </c>
      <c r="B128" s="18" t="s">
        <v>320</v>
      </c>
      <c r="C128" s="18" t="s">
        <v>321</v>
      </c>
      <c r="D128" s="18" t="s">
        <v>551</v>
      </c>
      <c r="E128" s="18" t="str">
        <f>RIGHT(Tabela2[[#This Row],[numero_convenio]],4)</f>
        <v>2024</v>
      </c>
      <c r="F128" s="18" t="s">
        <v>552</v>
      </c>
      <c r="G128" s="18" t="s">
        <v>553</v>
      </c>
      <c r="H128" s="19" t="s">
        <v>629</v>
      </c>
      <c r="I128" s="8">
        <v>45474</v>
      </c>
      <c r="J128" s="8">
        <v>46205</v>
      </c>
      <c r="K128" s="20">
        <v>3691957.2</v>
      </c>
      <c r="L128" s="20">
        <v>3544278.91</v>
      </c>
      <c r="M128" s="20">
        <v>147678.29</v>
      </c>
      <c r="N128" s="18">
        <v>5</v>
      </c>
      <c r="O128" s="11">
        <v>0</v>
      </c>
    </row>
    <row r="129" spans="1:15" x14ac:dyDescent="0.25">
      <c r="A129" s="28" t="s">
        <v>0</v>
      </c>
      <c r="B129" s="24" t="s">
        <v>370</v>
      </c>
      <c r="C129" s="24" t="s">
        <v>371</v>
      </c>
      <c r="D129" s="24" t="s">
        <v>554</v>
      </c>
      <c r="E129" s="24" t="str">
        <f>RIGHT(Tabela2[[#This Row],[numero_convenio]],4)</f>
        <v>2024</v>
      </c>
      <c r="F129" s="24" t="s">
        <v>555</v>
      </c>
      <c r="G129" s="24" t="s">
        <v>556</v>
      </c>
      <c r="H129" s="17" t="s">
        <v>629</v>
      </c>
      <c r="I129" s="25">
        <v>45471</v>
      </c>
      <c r="J129" s="25">
        <v>46385</v>
      </c>
      <c r="K129" s="26">
        <v>5841288.4000000004</v>
      </c>
      <c r="L129" s="26">
        <v>5607636.8600000003</v>
      </c>
      <c r="M129" s="26">
        <v>233651.54</v>
      </c>
      <c r="N129" s="24">
        <v>6</v>
      </c>
      <c r="O129" s="11">
        <v>0</v>
      </c>
    </row>
    <row r="130" spans="1:15" x14ac:dyDescent="0.25">
      <c r="A130" s="27" t="s">
        <v>0</v>
      </c>
      <c r="B130" s="18" t="s">
        <v>320</v>
      </c>
      <c r="C130" s="18" t="s">
        <v>321</v>
      </c>
      <c r="D130" s="18" t="s">
        <v>557</v>
      </c>
      <c r="E130" s="18" t="str">
        <f>RIGHT(Tabela2[[#This Row],[numero_convenio]],4)</f>
        <v>2024</v>
      </c>
      <c r="F130" s="18" t="s">
        <v>558</v>
      </c>
      <c r="G130" s="18" t="s">
        <v>559</v>
      </c>
      <c r="H130" s="19" t="s">
        <v>629</v>
      </c>
      <c r="I130" s="8">
        <v>45471</v>
      </c>
      <c r="J130" s="8">
        <v>46202</v>
      </c>
      <c r="K130" s="20">
        <v>2664074.9</v>
      </c>
      <c r="L130" s="20">
        <v>2557511.9</v>
      </c>
      <c r="M130" s="20">
        <v>106563</v>
      </c>
      <c r="N130" s="18">
        <v>5</v>
      </c>
      <c r="O130" s="11">
        <v>0</v>
      </c>
    </row>
    <row r="131" spans="1:15" x14ac:dyDescent="0.25">
      <c r="A131" s="24" t="s">
        <v>0</v>
      </c>
      <c r="B131" s="24" t="s">
        <v>340</v>
      </c>
      <c r="C131" s="24" t="s">
        <v>560</v>
      </c>
      <c r="D131" s="24" t="s">
        <v>561</v>
      </c>
      <c r="E131" s="24" t="str">
        <f>RIGHT(Tabela2[[#This Row],[numero_convenio]],4)</f>
        <v>2024</v>
      </c>
      <c r="F131" s="24" t="s">
        <v>562</v>
      </c>
      <c r="G131" s="24" t="s">
        <v>563</v>
      </c>
      <c r="H131" s="17" t="s">
        <v>629</v>
      </c>
      <c r="I131" s="25">
        <v>45471</v>
      </c>
      <c r="J131" s="25">
        <v>46202</v>
      </c>
      <c r="K131" s="26">
        <v>4381733.59</v>
      </c>
      <c r="L131" s="26">
        <v>4206464.2</v>
      </c>
      <c r="M131" s="26">
        <v>175269.39</v>
      </c>
      <c r="N131" s="24">
        <v>5</v>
      </c>
      <c r="O131" s="11">
        <v>0</v>
      </c>
    </row>
    <row r="132" spans="1:15" x14ac:dyDescent="0.25">
      <c r="A132" s="27" t="s">
        <v>0</v>
      </c>
      <c r="B132" s="18" t="s">
        <v>120</v>
      </c>
      <c r="C132" s="18" t="s">
        <v>121</v>
      </c>
      <c r="D132" s="18" t="s">
        <v>564</v>
      </c>
      <c r="E132" s="18" t="str">
        <f>RIGHT(Tabela2[[#This Row],[numero_convenio]],4)</f>
        <v>2024</v>
      </c>
      <c r="F132" s="18" t="s">
        <v>565</v>
      </c>
      <c r="G132" s="18" t="s">
        <v>566</v>
      </c>
      <c r="H132" s="19" t="s">
        <v>629</v>
      </c>
      <c r="I132" s="8">
        <v>45471</v>
      </c>
      <c r="J132" s="8">
        <v>46294</v>
      </c>
      <c r="K132" s="20">
        <v>6619448.9500000002</v>
      </c>
      <c r="L132" s="20">
        <v>6354670.9500000002</v>
      </c>
      <c r="M132" s="20">
        <v>264778</v>
      </c>
      <c r="N132" s="18">
        <v>6</v>
      </c>
      <c r="O132" s="11">
        <v>0</v>
      </c>
    </row>
    <row r="133" spans="1:15" x14ac:dyDescent="0.25">
      <c r="A133" s="24" t="s">
        <v>0</v>
      </c>
      <c r="B133" s="24" t="s">
        <v>567</v>
      </c>
      <c r="C133" s="24" t="s">
        <v>568</v>
      </c>
      <c r="D133" s="24" t="s">
        <v>569</v>
      </c>
      <c r="E133" s="24" t="str">
        <f>RIGHT(Tabela2[[#This Row],[numero_convenio]],4)</f>
        <v>2024</v>
      </c>
      <c r="F133" s="24" t="s">
        <v>570</v>
      </c>
      <c r="G133" s="24" t="s">
        <v>571</v>
      </c>
      <c r="H133" s="17" t="s">
        <v>629</v>
      </c>
      <c r="I133" s="25">
        <v>45471</v>
      </c>
      <c r="J133" s="25">
        <v>46385</v>
      </c>
      <c r="K133" s="26">
        <v>7147392.5</v>
      </c>
      <c r="L133" s="26">
        <v>6861446.7999999998</v>
      </c>
      <c r="M133" s="26">
        <v>285945.7</v>
      </c>
      <c r="N133" s="24">
        <v>5</v>
      </c>
      <c r="O133" s="11">
        <v>0</v>
      </c>
    </row>
    <row r="134" spans="1:15" x14ac:dyDescent="0.25">
      <c r="A134" s="27" t="s">
        <v>0</v>
      </c>
      <c r="B134" s="18" t="s">
        <v>572</v>
      </c>
      <c r="C134" s="18" t="s">
        <v>573</v>
      </c>
      <c r="D134" s="18" t="s">
        <v>574</v>
      </c>
      <c r="E134" s="18" t="str">
        <f>RIGHT(Tabela2[[#This Row],[numero_convenio]],4)</f>
        <v>2024</v>
      </c>
      <c r="F134" s="18" t="s">
        <v>575</v>
      </c>
      <c r="G134" s="18" t="s">
        <v>576</v>
      </c>
      <c r="H134" s="19" t="s">
        <v>629</v>
      </c>
      <c r="I134" s="8">
        <v>45474</v>
      </c>
      <c r="J134" s="8">
        <v>46205</v>
      </c>
      <c r="K134" s="20">
        <v>4049587.48</v>
      </c>
      <c r="L134" s="20">
        <v>3887603.98</v>
      </c>
      <c r="M134" s="20">
        <v>161983.5</v>
      </c>
      <c r="N134" s="18">
        <v>5</v>
      </c>
      <c r="O134" s="11">
        <v>0</v>
      </c>
    </row>
    <row r="135" spans="1:15" x14ac:dyDescent="0.25">
      <c r="A135" s="24" t="s">
        <v>0</v>
      </c>
      <c r="B135" s="24" t="s">
        <v>197</v>
      </c>
      <c r="C135" s="24" t="s">
        <v>577</v>
      </c>
      <c r="D135" s="24" t="s">
        <v>578</v>
      </c>
      <c r="E135" s="24" t="str">
        <f>RIGHT(Tabela2[[#This Row],[numero_convenio]],4)</f>
        <v>2024</v>
      </c>
      <c r="F135" s="24" t="s">
        <v>579</v>
      </c>
      <c r="G135" s="24" t="s">
        <v>580</v>
      </c>
      <c r="H135" s="17" t="s">
        <v>629</v>
      </c>
      <c r="I135" s="25">
        <v>45474</v>
      </c>
      <c r="J135" s="25">
        <v>46297</v>
      </c>
      <c r="K135" s="26">
        <v>7774378.9000000004</v>
      </c>
      <c r="L135" s="26">
        <v>7385659.9500000002</v>
      </c>
      <c r="M135" s="26">
        <v>388718.95</v>
      </c>
      <c r="N135" s="24">
        <v>6</v>
      </c>
      <c r="O135" s="11">
        <v>0</v>
      </c>
    </row>
    <row r="136" spans="1:15" x14ac:dyDescent="0.25">
      <c r="A136" s="27" t="s">
        <v>0</v>
      </c>
      <c r="B136" s="18" t="s">
        <v>278</v>
      </c>
      <c r="C136" s="18" t="s">
        <v>22</v>
      </c>
      <c r="D136" s="18" t="s">
        <v>581</v>
      </c>
      <c r="E136" s="18" t="str">
        <f>RIGHT(Tabela2[[#This Row],[numero_convenio]],4)</f>
        <v>2024</v>
      </c>
      <c r="F136" s="18" t="s">
        <v>582</v>
      </c>
      <c r="G136" s="18" t="s">
        <v>583</v>
      </c>
      <c r="H136" s="19" t="s">
        <v>629</v>
      </c>
      <c r="I136" s="8">
        <v>45475</v>
      </c>
      <c r="J136" s="8">
        <v>46206</v>
      </c>
      <c r="K136" s="20">
        <v>8098553.8300000001</v>
      </c>
      <c r="L136" s="20">
        <v>7774611.6699999999</v>
      </c>
      <c r="M136" s="20">
        <v>323942.15999999997</v>
      </c>
      <c r="N136" s="18">
        <v>6</v>
      </c>
      <c r="O136" s="11">
        <v>0</v>
      </c>
    </row>
    <row r="137" spans="1:15" x14ac:dyDescent="0.25">
      <c r="A137" s="24" t="s">
        <v>0</v>
      </c>
      <c r="B137" s="24" t="s">
        <v>115</v>
      </c>
      <c r="C137" s="24" t="s">
        <v>116</v>
      </c>
      <c r="D137" s="24" t="s">
        <v>584</v>
      </c>
      <c r="E137" s="24" t="str">
        <f>RIGHT(Tabela2[[#This Row],[numero_convenio]],4)</f>
        <v>2024</v>
      </c>
      <c r="F137" s="24" t="s">
        <v>585</v>
      </c>
      <c r="G137" s="24" t="s">
        <v>586</v>
      </c>
      <c r="H137" s="17" t="s">
        <v>629</v>
      </c>
      <c r="I137" s="25">
        <v>45476</v>
      </c>
      <c r="J137" s="25">
        <v>46391</v>
      </c>
      <c r="K137" s="26">
        <v>6475379.0599999996</v>
      </c>
      <c r="L137" s="26">
        <v>6151610.0999999996</v>
      </c>
      <c r="M137" s="26">
        <v>323768.96000000002</v>
      </c>
      <c r="N137" s="24">
        <v>5</v>
      </c>
      <c r="O137" s="11">
        <v>0</v>
      </c>
    </row>
    <row r="138" spans="1:15" x14ac:dyDescent="0.25">
      <c r="A138" s="27" t="s">
        <v>0</v>
      </c>
      <c r="B138" s="18" t="s">
        <v>72</v>
      </c>
      <c r="C138" s="18" t="s">
        <v>73</v>
      </c>
      <c r="D138" s="18" t="s">
        <v>587</v>
      </c>
      <c r="E138" s="18" t="str">
        <f>RIGHT(Tabela2[[#This Row],[numero_convenio]],4)</f>
        <v>2024</v>
      </c>
      <c r="F138" s="18" t="s">
        <v>588</v>
      </c>
      <c r="G138" s="18" t="s">
        <v>589</v>
      </c>
      <c r="H138" s="19" t="s">
        <v>629</v>
      </c>
      <c r="I138" s="8">
        <v>45476</v>
      </c>
      <c r="J138" s="8">
        <v>46391</v>
      </c>
      <c r="K138" s="20">
        <v>15675584.369999999</v>
      </c>
      <c r="L138" s="20">
        <v>15048561</v>
      </c>
      <c r="M138" s="20">
        <v>627023.37</v>
      </c>
      <c r="N138" s="18">
        <v>8</v>
      </c>
      <c r="O138" s="11">
        <v>0</v>
      </c>
    </row>
    <row r="139" spans="1:15" x14ac:dyDescent="0.25">
      <c r="A139" s="24" t="s">
        <v>0</v>
      </c>
      <c r="B139" s="24" t="s">
        <v>234</v>
      </c>
      <c r="C139" s="24" t="s">
        <v>235</v>
      </c>
      <c r="D139" s="24" t="s">
        <v>590</v>
      </c>
      <c r="E139" s="24" t="str">
        <f>RIGHT(Tabela2[[#This Row],[numero_convenio]],4)</f>
        <v>2024</v>
      </c>
      <c r="F139" s="24" t="s">
        <v>591</v>
      </c>
      <c r="G139" s="24" t="s">
        <v>592</v>
      </c>
      <c r="H139" s="17" t="s">
        <v>629</v>
      </c>
      <c r="I139" s="25">
        <v>45476</v>
      </c>
      <c r="J139" s="25">
        <v>46206</v>
      </c>
      <c r="K139" s="26">
        <v>6947110.9199999999</v>
      </c>
      <c r="L139" s="26">
        <v>6669226.4800000004</v>
      </c>
      <c r="M139" s="26">
        <v>277884.44</v>
      </c>
      <c r="N139" s="24">
        <v>5</v>
      </c>
      <c r="O139" s="11">
        <v>0</v>
      </c>
    </row>
    <row r="140" spans="1:15" x14ac:dyDescent="0.25">
      <c r="A140" s="27" t="s">
        <v>0</v>
      </c>
      <c r="B140" s="18" t="s">
        <v>67</v>
      </c>
      <c r="C140" s="18" t="s">
        <v>68</v>
      </c>
      <c r="D140" s="18" t="s">
        <v>593</v>
      </c>
      <c r="E140" s="18" t="str">
        <f>RIGHT(Tabela2[[#This Row],[numero_convenio]],4)</f>
        <v>2024</v>
      </c>
      <c r="F140" s="18" t="s">
        <v>594</v>
      </c>
      <c r="G140" s="18" t="s">
        <v>595</v>
      </c>
      <c r="H140" s="19" t="s">
        <v>629</v>
      </c>
      <c r="I140" s="8">
        <v>45476</v>
      </c>
      <c r="J140" s="8">
        <v>46391</v>
      </c>
      <c r="K140" s="20">
        <v>6008903.5</v>
      </c>
      <c r="L140" s="20">
        <v>5768547.2999999998</v>
      </c>
      <c r="M140" s="20">
        <v>240356.2</v>
      </c>
      <c r="N140" s="18">
        <v>5</v>
      </c>
      <c r="O140" s="11">
        <v>0</v>
      </c>
    </row>
    <row r="141" spans="1:15" x14ac:dyDescent="0.25">
      <c r="A141" s="24" t="s">
        <v>0</v>
      </c>
      <c r="B141" s="24" t="s">
        <v>72</v>
      </c>
      <c r="C141" s="24" t="s">
        <v>73</v>
      </c>
      <c r="D141" s="24" t="s">
        <v>596</v>
      </c>
      <c r="E141" s="24" t="str">
        <f>RIGHT(Tabela2[[#This Row],[numero_convenio]],4)</f>
        <v>2024</v>
      </c>
      <c r="F141" s="24" t="s">
        <v>597</v>
      </c>
      <c r="G141" s="24" t="s">
        <v>598</v>
      </c>
      <c r="H141" s="17" t="s">
        <v>629</v>
      </c>
      <c r="I141" s="25">
        <v>45476</v>
      </c>
      <c r="J141" s="25">
        <v>46391</v>
      </c>
      <c r="K141" s="26">
        <v>5137667.07</v>
      </c>
      <c r="L141" s="26">
        <v>4932160.3899999997</v>
      </c>
      <c r="M141" s="26">
        <v>205506.68</v>
      </c>
      <c r="N141" s="24">
        <v>5</v>
      </c>
      <c r="O141" s="11">
        <v>0</v>
      </c>
    </row>
    <row r="142" spans="1:15" x14ac:dyDescent="0.25">
      <c r="A142" s="27" t="s">
        <v>0</v>
      </c>
      <c r="B142" s="18" t="s">
        <v>189</v>
      </c>
      <c r="C142" s="18" t="s">
        <v>190</v>
      </c>
      <c r="D142" s="18" t="s">
        <v>599</v>
      </c>
      <c r="E142" s="18" t="str">
        <f>RIGHT(Tabela2[[#This Row],[numero_convenio]],4)</f>
        <v>2024</v>
      </c>
      <c r="F142" s="18" t="s">
        <v>600</v>
      </c>
      <c r="G142" s="18" t="s">
        <v>601</v>
      </c>
      <c r="H142" s="19" t="s">
        <v>629</v>
      </c>
      <c r="I142" s="8">
        <v>45476</v>
      </c>
      <c r="J142" s="8">
        <v>46299</v>
      </c>
      <c r="K142" s="20">
        <v>4749769.6500000004</v>
      </c>
      <c r="L142" s="20">
        <v>4559778.8600000003</v>
      </c>
      <c r="M142" s="20">
        <v>189990.79</v>
      </c>
      <c r="N142" s="18">
        <v>4</v>
      </c>
      <c r="O142" s="11">
        <v>0</v>
      </c>
    </row>
    <row r="143" spans="1:15" x14ac:dyDescent="0.25">
      <c r="A143" s="24" t="s">
        <v>0</v>
      </c>
      <c r="B143" s="24" t="s">
        <v>77</v>
      </c>
      <c r="C143" s="24" t="s">
        <v>257</v>
      </c>
      <c r="D143" s="24" t="s">
        <v>602</v>
      </c>
      <c r="E143" s="24" t="str">
        <f>RIGHT(Tabela2[[#This Row],[numero_convenio]],4)</f>
        <v>2024</v>
      </c>
      <c r="F143" s="24" t="s">
        <v>603</v>
      </c>
      <c r="G143" s="24" t="s">
        <v>604</v>
      </c>
      <c r="H143" s="17" t="s">
        <v>629</v>
      </c>
      <c r="I143" s="25">
        <v>45476</v>
      </c>
      <c r="J143" s="25">
        <v>46207</v>
      </c>
      <c r="K143" s="26">
        <v>5209082.62</v>
      </c>
      <c r="L143" s="26">
        <v>4948628.47</v>
      </c>
      <c r="M143" s="26">
        <v>260454.15</v>
      </c>
      <c r="N143" s="24">
        <v>6</v>
      </c>
      <c r="O143" s="11">
        <v>0</v>
      </c>
    </row>
    <row r="144" spans="1:15" x14ac:dyDescent="0.25">
      <c r="A144" s="27" t="s">
        <v>0</v>
      </c>
      <c r="B144" s="18" t="s">
        <v>281</v>
      </c>
      <c r="C144" s="18" t="s">
        <v>282</v>
      </c>
      <c r="D144" s="18" t="s">
        <v>605</v>
      </c>
      <c r="E144" s="18" t="str">
        <f>RIGHT(Tabela2[[#This Row],[numero_convenio]],4)</f>
        <v>2024</v>
      </c>
      <c r="F144" s="18" t="s">
        <v>606</v>
      </c>
      <c r="G144" s="18" t="s">
        <v>607</v>
      </c>
      <c r="H144" s="19" t="s">
        <v>629</v>
      </c>
      <c r="I144" s="8">
        <v>45476</v>
      </c>
      <c r="J144" s="8">
        <v>46299</v>
      </c>
      <c r="K144" s="20">
        <v>16880259.960000001</v>
      </c>
      <c r="L144" s="20">
        <v>16205049.560000001</v>
      </c>
      <c r="M144" s="20">
        <v>675210.4</v>
      </c>
      <c r="N144" s="18">
        <v>9</v>
      </c>
      <c r="O144" s="11">
        <v>0</v>
      </c>
    </row>
    <row r="145" spans="1:15" x14ac:dyDescent="0.25">
      <c r="A145" s="24" t="s">
        <v>0</v>
      </c>
      <c r="B145" s="24" t="s">
        <v>252</v>
      </c>
      <c r="C145" s="24" t="s">
        <v>253</v>
      </c>
      <c r="D145" s="24" t="s">
        <v>608</v>
      </c>
      <c r="E145" s="24" t="str">
        <f>RIGHT(Tabela2[[#This Row],[numero_convenio]],4)</f>
        <v>2025</v>
      </c>
      <c r="F145" s="24" t="s">
        <v>609</v>
      </c>
      <c r="G145" s="24" t="s">
        <v>610</v>
      </c>
      <c r="H145" s="17" t="s">
        <v>629</v>
      </c>
      <c r="I145" s="25">
        <v>45978</v>
      </c>
      <c r="J145" s="25">
        <v>46435</v>
      </c>
      <c r="K145" s="26">
        <v>5168308.1100000003</v>
      </c>
      <c r="L145" s="26">
        <v>4961575.79</v>
      </c>
      <c r="M145" s="26">
        <v>206732.32</v>
      </c>
      <c r="N145" s="24">
        <v>4</v>
      </c>
      <c r="O145" s="11">
        <v>0</v>
      </c>
    </row>
    <row r="146" spans="1:15" x14ac:dyDescent="0.25">
      <c r="A146" s="29" t="s">
        <v>0</v>
      </c>
      <c r="B146" s="30" t="s">
        <v>611</v>
      </c>
      <c r="C146" s="29" t="s">
        <v>612</v>
      </c>
      <c r="D146" s="30" t="s">
        <v>613</v>
      </c>
      <c r="E146" s="30" t="str">
        <f>RIGHT(Tabela2[[#This Row],[numero_convenio]],4)</f>
        <v>2025</v>
      </c>
      <c r="F146" s="30" t="s">
        <v>614</v>
      </c>
      <c r="G146" s="29" t="s">
        <v>639</v>
      </c>
      <c r="H146" s="30" t="s">
        <v>629</v>
      </c>
      <c r="I146" s="31">
        <v>45961</v>
      </c>
      <c r="J146" s="31">
        <v>46326</v>
      </c>
      <c r="K146" s="32">
        <v>240000</v>
      </c>
      <c r="L146" s="32">
        <v>240000</v>
      </c>
      <c r="M146" s="30" t="s">
        <v>6</v>
      </c>
      <c r="N146" s="30">
        <v>1</v>
      </c>
      <c r="O146" s="11">
        <v>0</v>
      </c>
    </row>
    <row r="147" spans="1:15" x14ac:dyDescent="0.25">
      <c r="A147" s="24"/>
      <c r="C147" s="24"/>
      <c r="F147" s="33"/>
      <c r="H147" s="34"/>
      <c r="I147" s="35"/>
      <c r="J147" s="35"/>
      <c r="N147" s="33"/>
      <c r="O147" s="36"/>
    </row>
    <row r="148" spans="1:15" x14ac:dyDescent="0.25">
      <c r="C148" s="24"/>
      <c r="F148" s="33"/>
      <c r="H148" s="34"/>
      <c r="I148" s="35"/>
      <c r="J148" s="35"/>
      <c r="N148" s="33"/>
      <c r="O148" s="36"/>
    </row>
    <row r="149" spans="1:15" x14ac:dyDescent="0.25">
      <c r="C149" s="24"/>
      <c r="F149" s="33"/>
      <c r="H149" s="34"/>
      <c r="I149" s="35"/>
      <c r="J149" s="35"/>
      <c r="N149" s="33"/>
      <c r="O149" s="36"/>
    </row>
    <row r="150" spans="1:15" x14ac:dyDescent="0.25">
      <c r="C150" s="24"/>
      <c r="F150" s="33"/>
      <c r="H150" s="34"/>
      <c r="I150" s="35"/>
      <c r="J150" s="35"/>
      <c r="N150" s="33"/>
      <c r="O150" s="36"/>
    </row>
    <row r="151" spans="1:15" x14ac:dyDescent="0.25">
      <c r="C151" s="24"/>
      <c r="F151" s="33"/>
      <c r="H151" s="34"/>
      <c r="I151" s="35"/>
      <c r="J151" s="35"/>
      <c r="N151" s="33"/>
      <c r="O151" s="36"/>
    </row>
    <row r="152" spans="1:15" x14ac:dyDescent="0.25">
      <c r="C152" s="24"/>
      <c r="F152" s="33"/>
      <c r="H152" s="34"/>
      <c r="I152" s="35"/>
      <c r="J152" s="35"/>
      <c r="N152" s="33"/>
      <c r="O152" s="36"/>
    </row>
    <row r="153" spans="1:15" x14ac:dyDescent="0.25">
      <c r="C153" s="24"/>
      <c r="F153" s="33"/>
      <c r="H153" s="34"/>
      <c r="I153" s="35"/>
      <c r="J153" s="35"/>
      <c r="N153" s="33"/>
      <c r="O153" s="36"/>
    </row>
    <row r="154" spans="1:15" x14ac:dyDescent="0.25">
      <c r="C154" s="24"/>
      <c r="F154" s="33"/>
      <c r="H154" s="34"/>
      <c r="I154" s="35"/>
      <c r="J154" s="35"/>
      <c r="N154" s="33"/>
      <c r="O154" s="36"/>
    </row>
    <row r="155" spans="1:15" x14ac:dyDescent="0.25">
      <c r="C155" s="24"/>
      <c r="F155" s="33"/>
      <c r="H155" s="34"/>
      <c r="I155" s="35"/>
      <c r="J155" s="35"/>
      <c r="N155" s="33"/>
      <c r="O155" s="36"/>
    </row>
    <row r="156" spans="1:15" x14ac:dyDescent="0.25">
      <c r="C156" s="24"/>
      <c r="F156" s="33"/>
      <c r="H156" s="34"/>
      <c r="I156" s="35"/>
      <c r="J156" s="35"/>
      <c r="N156" s="33"/>
      <c r="O156" s="36"/>
    </row>
    <row r="157" spans="1:15" x14ac:dyDescent="0.25">
      <c r="C157" s="24"/>
      <c r="F157" s="33"/>
      <c r="H157" s="34"/>
      <c r="I157" s="35"/>
      <c r="J157" s="35"/>
      <c r="N157" s="33"/>
      <c r="O157" s="36"/>
    </row>
    <row r="158" spans="1:15" x14ac:dyDescent="0.25">
      <c r="C158" s="24"/>
      <c r="F158" s="33"/>
      <c r="H158" s="34"/>
      <c r="I158" s="35"/>
      <c r="J158" s="35"/>
      <c r="N158" s="33"/>
      <c r="O158" s="36"/>
    </row>
    <row r="159" spans="1:15" x14ac:dyDescent="0.25">
      <c r="C159" s="24"/>
      <c r="F159" s="33"/>
      <c r="H159" s="34"/>
      <c r="I159" s="35"/>
      <c r="J159" s="35"/>
      <c r="N159" s="33"/>
      <c r="O159" s="36"/>
    </row>
    <row r="160" spans="1:15" x14ac:dyDescent="0.25">
      <c r="C160" s="24"/>
      <c r="F160" s="33"/>
      <c r="H160" s="34"/>
      <c r="I160" s="35"/>
      <c r="J160" s="35"/>
      <c r="N160" s="33"/>
      <c r="O160" s="36"/>
    </row>
    <row r="161" spans="3:15" x14ac:dyDescent="0.25">
      <c r="C161" s="24"/>
      <c r="F161" s="33"/>
      <c r="H161" s="34"/>
      <c r="I161" s="35"/>
      <c r="J161" s="35"/>
      <c r="N161" s="33"/>
      <c r="O161" s="36"/>
    </row>
    <row r="162" spans="3:15" x14ac:dyDescent="0.25">
      <c r="C162" s="24"/>
      <c r="F162" s="33"/>
      <c r="H162" s="34"/>
      <c r="I162" s="35"/>
      <c r="J162" s="35"/>
      <c r="N162" s="33"/>
      <c r="O162" s="36"/>
    </row>
    <row r="163" spans="3:15" x14ac:dyDescent="0.25">
      <c r="C163" s="24"/>
      <c r="F163" s="33"/>
      <c r="H163" s="34"/>
      <c r="I163" s="35"/>
      <c r="J163" s="35"/>
      <c r="N163" s="33"/>
      <c r="O163" s="36"/>
    </row>
    <row r="164" spans="3:15" x14ac:dyDescent="0.25">
      <c r="C164" s="24"/>
      <c r="F164" s="33"/>
      <c r="H164" s="34"/>
      <c r="I164" s="35"/>
      <c r="J164" s="35"/>
      <c r="N164" s="33"/>
      <c r="O164" s="36"/>
    </row>
    <row r="165" spans="3:15" x14ac:dyDescent="0.25">
      <c r="C165" s="24"/>
      <c r="F165" s="33"/>
      <c r="H165" s="34"/>
      <c r="I165" s="35"/>
      <c r="J165" s="35"/>
      <c r="N165" s="33"/>
      <c r="O165" s="36"/>
    </row>
    <row r="166" spans="3:15" x14ac:dyDescent="0.25">
      <c r="C166" s="24"/>
      <c r="F166" s="33"/>
      <c r="H166" s="34"/>
      <c r="I166" s="35"/>
      <c r="J166" s="35"/>
      <c r="N166" s="33"/>
      <c r="O166" s="36"/>
    </row>
    <row r="167" spans="3:15" x14ac:dyDescent="0.25">
      <c r="C167" s="24"/>
      <c r="F167" s="33"/>
      <c r="H167" s="34"/>
      <c r="I167" s="35"/>
      <c r="J167" s="35"/>
      <c r="N167" s="33"/>
      <c r="O167" s="36"/>
    </row>
    <row r="168" spans="3:15" x14ac:dyDescent="0.25">
      <c r="C168" s="24"/>
      <c r="F168" s="33"/>
      <c r="H168" s="34"/>
      <c r="I168" s="35"/>
      <c r="J168" s="35"/>
      <c r="N168" s="33"/>
      <c r="O168" s="36"/>
    </row>
    <row r="169" spans="3:15" x14ac:dyDescent="0.25">
      <c r="C169" s="24"/>
      <c r="F169" s="33"/>
      <c r="H169" s="34"/>
      <c r="I169" s="35"/>
      <c r="J169" s="35"/>
      <c r="N169" s="33"/>
      <c r="O169" s="36"/>
    </row>
    <row r="170" spans="3:15" x14ac:dyDescent="0.25">
      <c r="C170" s="24"/>
      <c r="F170" s="33"/>
      <c r="H170" s="34"/>
      <c r="I170" s="35"/>
      <c r="J170" s="35"/>
      <c r="N170" s="33"/>
      <c r="O170" s="36"/>
    </row>
    <row r="171" spans="3:15" x14ac:dyDescent="0.25">
      <c r="C171" s="24"/>
      <c r="F171" s="33"/>
      <c r="H171" s="34"/>
      <c r="I171" s="35"/>
      <c r="J171" s="35"/>
      <c r="N171" s="33"/>
      <c r="O171" s="36"/>
    </row>
    <row r="172" spans="3:15" x14ac:dyDescent="0.25">
      <c r="C172" s="24"/>
      <c r="F172" s="33"/>
      <c r="H172" s="34"/>
      <c r="I172" s="35"/>
      <c r="J172" s="35"/>
      <c r="N172" s="33"/>
      <c r="O172" s="36"/>
    </row>
    <row r="173" spans="3:15" x14ac:dyDescent="0.25">
      <c r="C173" s="24"/>
      <c r="F173" s="33"/>
      <c r="H173" s="34"/>
      <c r="I173" s="35"/>
      <c r="J173" s="35"/>
      <c r="N173" s="33"/>
      <c r="O173" s="36"/>
    </row>
    <row r="174" spans="3:15" x14ac:dyDescent="0.25">
      <c r="C174" s="24"/>
      <c r="F174" s="33"/>
      <c r="H174" s="34"/>
      <c r="I174" s="35"/>
      <c r="J174" s="35"/>
      <c r="N174" s="33"/>
      <c r="O174" s="36"/>
    </row>
    <row r="175" spans="3:15" x14ac:dyDescent="0.25">
      <c r="C175" s="24"/>
      <c r="F175" s="33"/>
      <c r="H175" s="34"/>
      <c r="I175" s="35"/>
      <c r="J175" s="35"/>
      <c r="N175" s="33"/>
      <c r="O175" s="36"/>
    </row>
    <row r="176" spans="3:15" x14ac:dyDescent="0.25">
      <c r="C176" s="24"/>
      <c r="F176" s="33"/>
      <c r="H176" s="34"/>
      <c r="I176" s="35"/>
      <c r="J176" s="35"/>
      <c r="N176" s="33"/>
      <c r="O176" s="36"/>
    </row>
    <row r="177" spans="3:15" x14ac:dyDescent="0.25">
      <c r="C177" s="24"/>
      <c r="F177" s="33"/>
      <c r="H177" s="34"/>
      <c r="I177" s="35"/>
      <c r="J177" s="35"/>
      <c r="N177" s="33"/>
      <c r="O177" s="36"/>
    </row>
    <row r="178" spans="3:15" x14ac:dyDescent="0.25">
      <c r="C178" s="24"/>
      <c r="F178" s="33"/>
      <c r="H178" s="34"/>
      <c r="I178" s="35"/>
      <c r="J178" s="35"/>
      <c r="N178" s="33"/>
      <c r="O178" s="36"/>
    </row>
    <row r="179" spans="3:15" x14ac:dyDescent="0.25">
      <c r="C179" s="24"/>
      <c r="F179" s="33"/>
      <c r="H179" s="34"/>
      <c r="I179" s="35"/>
      <c r="J179" s="35"/>
      <c r="N179" s="33"/>
      <c r="O179" s="36"/>
    </row>
    <row r="180" spans="3:15" x14ac:dyDescent="0.25">
      <c r="C180" s="24"/>
      <c r="F180" s="33"/>
      <c r="H180" s="34"/>
      <c r="I180" s="35"/>
      <c r="J180" s="35"/>
      <c r="N180" s="33"/>
      <c r="O180" s="36"/>
    </row>
    <row r="181" spans="3:15" x14ac:dyDescent="0.25">
      <c r="C181" s="24"/>
      <c r="F181" s="33"/>
      <c r="H181" s="34"/>
      <c r="I181" s="35"/>
      <c r="J181" s="35"/>
      <c r="N181" s="33"/>
      <c r="O181" s="36"/>
    </row>
    <row r="182" spans="3:15" x14ac:dyDescent="0.25">
      <c r="C182" s="24"/>
      <c r="F182" s="33"/>
      <c r="H182" s="34"/>
      <c r="I182" s="35"/>
      <c r="J182" s="35"/>
      <c r="N182" s="33"/>
      <c r="O182" s="36"/>
    </row>
    <row r="183" spans="3:15" x14ac:dyDescent="0.25">
      <c r="C183" s="24"/>
      <c r="F183" s="33"/>
      <c r="H183" s="34"/>
      <c r="I183" s="35"/>
      <c r="J183" s="35"/>
      <c r="N183" s="33"/>
      <c r="O183" s="36"/>
    </row>
    <row r="184" spans="3:15" x14ac:dyDescent="0.25">
      <c r="C184" s="24"/>
      <c r="F184" s="33"/>
      <c r="H184" s="34"/>
      <c r="I184" s="35"/>
      <c r="J184" s="35"/>
      <c r="N184" s="33"/>
      <c r="O184" s="36"/>
    </row>
    <row r="185" spans="3:15" x14ac:dyDescent="0.25">
      <c r="C185" s="24"/>
      <c r="F185" s="33"/>
      <c r="H185" s="34"/>
      <c r="I185" s="35"/>
      <c r="J185" s="35"/>
      <c r="N185" s="33"/>
      <c r="O185" s="36"/>
    </row>
    <row r="186" spans="3:15" x14ac:dyDescent="0.25">
      <c r="C186" s="24"/>
      <c r="F186" s="33"/>
      <c r="H186" s="34"/>
      <c r="I186" s="35"/>
      <c r="J186" s="35"/>
      <c r="N186" s="33"/>
      <c r="O186" s="36"/>
    </row>
    <row r="187" spans="3:15" x14ac:dyDescent="0.25">
      <c r="C187" s="24"/>
      <c r="F187" s="33"/>
      <c r="H187" s="34"/>
      <c r="I187" s="35"/>
      <c r="J187" s="35"/>
      <c r="N187" s="33"/>
      <c r="O187" s="36"/>
    </row>
    <row r="188" spans="3:15" x14ac:dyDescent="0.25">
      <c r="C188" s="24"/>
      <c r="F188" s="33"/>
      <c r="H188" s="34"/>
      <c r="I188" s="35"/>
      <c r="J188" s="35"/>
      <c r="N188" s="33"/>
      <c r="O188" s="36"/>
    </row>
    <row r="189" spans="3:15" x14ac:dyDescent="0.25">
      <c r="C189" s="24"/>
      <c r="F189" s="33"/>
      <c r="H189" s="34"/>
      <c r="I189" s="35"/>
      <c r="J189" s="35"/>
      <c r="N189" s="33"/>
      <c r="O189" s="36"/>
    </row>
    <row r="190" spans="3:15" x14ac:dyDescent="0.25">
      <c r="C190" s="24"/>
      <c r="F190" s="33"/>
      <c r="H190" s="34"/>
      <c r="I190" s="35"/>
      <c r="J190" s="35"/>
      <c r="N190" s="33"/>
      <c r="O190" s="36"/>
    </row>
    <row r="191" spans="3:15" x14ac:dyDescent="0.25">
      <c r="C191" s="24"/>
      <c r="F191" s="33"/>
      <c r="H191" s="34"/>
      <c r="I191" s="35"/>
      <c r="J191" s="35"/>
      <c r="N191" s="33"/>
      <c r="O191" s="36"/>
    </row>
    <row r="192" spans="3:15" x14ac:dyDescent="0.25">
      <c r="C192" s="24"/>
      <c r="F192" s="33"/>
      <c r="H192" s="34"/>
      <c r="I192" s="35"/>
      <c r="J192" s="35"/>
      <c r="N192" s="33"/>
      <c r="O192" s="36"/>
    </row>
    <row r="193" spans="3:15" x14ac:dyDescent="0.25">
      <c r="C193" s="24"/>
      <c r="F193" s="33"/>
      <c r="H193" s="34"/>
      <c r="I193" s="35"/>
      <c r="J193" s="35"/>
      <c r="N193" s="33"/>
      <c r="O193" s="36"/>
    </row>
    <row r="194" spans="3:15" x14ac:dyDescent="0.25">
      <c r="C194" s="24"/>
      <c r="F194" s="33"/>
      <c r="H194" s="34"/>
      <c r="I194" s="35"/>
      <c r="J194" s="35"/>
      <c r="N194" s="33"/>
      <c r="O194" s="36"/>
    </row>
    <row r="195" spans="3:15" x14ac:dyDescent="0.25">
      <c r="C195" s="24"/>
      <c r="F195" s="33"/>
      <c r="H195" s="34"/>
      <c r="I195" s="35"/>
      <c r="J195" s="35"/>
      <c r="N195" s="33"/>
      <c r="O195" s="36"/>
    </row>
    <row r="196" spans="3:15" x14ac:dyDescent="0.25">
      <c r="C196" s="24"/>
      <c r="F196" s="33"/>
      <c r="H196" s="34"/>
      <c r="I196" s="35"/>
      <c r="J196" s="35"/>
      <c r="N196" s="33"/>
      <c r="O196" s="36"/>
    </row>
    <row r="197" spans="3:15" x14ac:dyDescent="0.25">
      <c r="C197" s="24"/>
      <c r="F197" s="33"/>
      <c r="H197" s="34"/>
      <c r="I197" s="35"/>
      <c r="J197" s="35"/>
      <c r="N197" s="33"/>
      <c r="O197" s="36"/>
    </row>
    <row r="198" spans="3:15" x14ac:dyDescent="0.25">
      <c r="C198" s="24"/>
      <c r="F198" s="33"/>
      <c r="H198" s="34"/>
      <c r="I198" s="35"/>
      <c r="J198" s="35"/>
      <c r="N198" s="33"/>
      <c r="O198" s="36"/>
    </row>
    <row r="199" spans="3:15" x14ac:dyDescent="0.25">
      <c r="C199" s="24"/>
      <c r="F199" s="33"/>
      <c r="H199" s="34"/>
      <c r="I199" s="35"/>
      <c r="J199" s="35"/>
      <c r="N199" s="33"/>
      <c r="O199" s="36"/>
    </row>
    <row r="200" spans="3:15" x14ac:dyDescent="0.25">
      <c r="C200" s="24"/>
      <c r="F200" s="33"/>
      <c r="H200" s="34"/>
      <c r="I200" s="35"/>
      <c r="J200" s="35"/>
      <c r="N200" s="33"/>
      <c r="O200" s="36"/>
    </row>
    <row r="201" spans="3:15" x14ac:dyDescent="0.25">
      <c r="C201" s="24"/>
      <c r="F201" s="33"/>
      <c r="H201" s="34"/>
      <c r="I201" s="35"/>
      <c r="J201" s="35"/>
      <c r="N201" s="33"/>
      <c r="O201" s="36"/>
    </row>
    <row r="202" spans="3:15" x14ac:dyDescent="0.25">
      <c r="C202" s="24"/>
      <c r="F202" s="33"/>
      <c r="H202" s="34"/>
      <c r="I202" s="35"/>
      <c r="J202" s="35"/>
      <c r="N202" s="33"/>
      <c r="O202" s="36"/>
    </row>
    <row r="203" spans="3:15" x14ac:dyDescent="0.25">
      <c r="C203" s="24"/>
      <c r="F203" s="33"/>
      <c r="H203" s="34"/>
      <c r="I203" s="35"/>
      <c r="J203" s="35"/>
      <c r="N203" s="33"/>
      <c r="O203" s="36"/>
    </row>
    <row r="204" spans="3:15" x14ac:dyDescent="0.25">
      <c r="C204" s="24"/>
      <c r="F204" s="33"/>
      <c r="H204" s="34"/>
      <c r="I204" s="35"/>
      <c r="J204" s="35"/>
      <c r="N204" s="33"/>
      <c r="O204" s="36"/>
    </row>
    <row r="205" spans="3:15" x14ac:dyDescent="0.25">
      <c r="C205" s="24"/>
      <c r="F205" s="33"/>
      <c r="H205" s="34"/>
      <c r="I205" s="35"/>
      <c r="J205" s="35"/>
      <c r="N205" s="33"/>
      <c r="O205" s="36"/>
    </row>
    <row r="206" spans="3:15" x14ac:dyDescent="0.25">
      <c r="C206" s="24"/>
      <c r="F206" s="33"/>
      <c r="H206" s="34"/>
      <c r="I206" s="35"/>
      <c r="J206" s="35"/>
      <c r="N206" s="33"/>
      <c r="O206" s="36"/>
    </row>
    <row r="207" spans="3:15" x14ac:dyDescent="0.25">
      <c r="C207" s="24"/>
      <c r="F207" s="33"/>
      <c r="H207" s="34"/>
      <c r="I207" s="35"/>
      <c r="J207" s="35"/>
      <c r="N207" s="33"/>
      <c r="O207" s="36"/>
    </row>
    <row r="208" spans="3:15" x14ac:dyDescent="0.25">
      <c r="C208" s="24"/>
      <c r="F208" s="33"/>
      <c r="H208" s="34"/>
      <c r="I208" s="35"/>
      <c r="J208" s="35"/>
      <c r="N208" s="33"/>
      <c r="O208" s="36"/>
    </row>
    <row r="209" spans="3:15" x14ac:dyDescent="0.25">
      <c r="C209" s="24"/>
      <c r="F209" s="33"/>
      <c r="H209" s="34"/>
      <c r="I209" s="35"/>
      <c r="J209" s="35"/>
      <c r="N209" s="33"/>
      <c r="O209" s="36"/>
    </row>
    <row r="210" spans="3:15" x14ac:dyDescent="0.25">
      <c r="C210" s="24"/>
      <c r="F210" s="33"/>
      <c r="H210" s="34"/>
      <c r="I210" s="35"/>
      <c r="J210" s="35"/>
      <c r="N210" s="33"/>
      <c r="O210" s="36"/>
    </row>
    <row r="211" spans="3:15" x14ac:dyDescent="0.25">
      <c r="C211" s="24"/>
      <c r="F211" s="33"/>
      <c r="H211" s="34"/>
      <c r="I211" s="35"/>
      <c r="J211" s="35"/>
      <c r="N211" s="33"/>
      <c r="O211" s="36"/>
    </row>
    <row r="212" spans="3:15" x14ac:dyDescent="0.25">
      <c r="C212" s="24"/>
      <c r="F212" s="33"/>
      <c r="H212" s="34"/>
      <c r="I212" s="35"/>
      <c r="J212" s="35"/>
      <c r="N212" s="33"/>
      <c r="O212" s="36"/>
    </row>
    <row r="213" spans="3:15" x14ac:dyDescent="0.25">
      <c r="C213" s="24"/>
      <c r="F213" s="33"/>
      <c r="H213" s="34"/>
      <c r="I213" s="35"/>
      <c r="J213" s="35"/>
      <c r="N213" s="33"/>
      <c r="O213" s="36"/>
    </row>
    <row r="214" spans="3:15" x14ac:dyDescent="0.25">
      <c r="C214" s="24"/>
      <c r="F214" s="33"/>
      <c r="H214" s="34"/>
      <c r="I214" s="35"/>
      <c r="J214" s="35"/>
      <c r="N214" s="33"/>
      <c r="O214" s="36"/>
    </row>
    <row r="215" spans="3:15" x14ac:dyDescent="0.25">
      <c r="C215" s="24"/>
      <c r="F215" s="33"/>
      <c r="H215" s="34"/>
      <c r="I215" s="35"/>
      <c r="J215" s="35"/>
      <c r="N215" s="33"/>
      <c r="O215" s="36"/>
    </row>
    <row r="216" spans="3:15" x14ac:dyDescent="0.25">
      <c r="C216" s="24"/>
      <c r="F216" s="33"/>
      <c r="H216" s="34"/>
      <c r="I216" s="35"/>
      <c r="J216" s="35"/>
      <c r="N216" s="33"/>
      <c r="O216" s="36"/>
    </row>
    <row r="217" spans="3:15" x14ac:dyDescent="0.25">
      <c r="C217" s="24"/>
      <c r="F217" s="33"/>
      <c r="H217" s="34"/>
      <c r="I217" s="35"/>
      <c r="J217" s="35"/>
      <c r="N217" s="33"/>
      <c r="O217" s="36"/>
    </row>
    <row r="218" spans="3:15" x14ac:dyDescent="0.25">
      <c r="C218" s="24"/>
      <c r="F218" s="33"/>
      <c r="H218" s="34"/>
      <c r="I218" s="35"/>
      <c r="J218" s="35"/>
      <c r="N218" s="33"/>
      <c r="O218" s="36"/>
    </row>
    <row r="219" spans="3:15" x14ac:dyDescent="0.25">
      <c r="C219" s="24"/>
      <c r="F219" s="33"/>
      <c r="H219" s="34"/>
      <c r="I219" s="35"/>
      <c r="J219" s="35"/>
      <c r="N219" s="33"/>
      <c r="O219" s="36"/>
    </row>
    <row r="220" spans="3:15" x14ac:dyDescent="0.25">
      <c r="C220" s="24"/>
      <c r="F220" s="33"/>
      <c r="H220" s="34"/>
      <c r="I220" s="35"/>
      <c r="J220" s="35"/>
      <c r="N220" s="33"/>
      <c r="O220" s="36"/>
    </row>
    <row r="221" spans="3:15" x14ac:dyDescent="0.25">
      <c r="C221" s="24"/>
      <c r="F221" s="33"/>
      <c r="H221" s="34"/>
      <c r="I221" s="35"/>
      <c r="J221" s="35"/>
      <c r="N221" s="33"/>
      <c r="O221" s="36"/>
    </row>
    <row r="222" spans="3:15" x14ac:dyDescent="0.25">
      <c r="C222" s="24"/>
      <c r="F222" s="33"/>
      <c r="H222" s="34"/>
      <c r="I222" s="35"/>
      <c r="J222" s="35"/>
      <c r="N222" s="33"/>
      <c r="O222" s="36"/>
    </row>
    <row r="223" spans="3:15" x14ac:dyDescent="0.25">
      <c r="C223" s="24"/>
      <c r="F223" s="33"/>
      <c r="H223" s="34"/>
      <c r="I223" s="35"/>
      <c r="J223" s="35"/>
      <c r="N223" s="33"/>
      <c r="O223" s="36"/>
    </row>
    <row r="224" spans="3:15" x14ac:dyDescent="0.25">
      <c r="C224" s="24"/>
      <c r="F224" s="33"/>
      <c r="H224" s="34"/>
      <c r="I224" s="35"/>
      <c r="J224" s="35"/>
      <c r="N224" s="33"/>
      <c r="O224" s="36"/>
    </row>
    <row r="225" spans="3:15" x14ac:dyDescent="0.25">
      <c r="C225" s="24"/>
      <c r="F225" s="33"/>
      <c r="H225" s="34"/>
      <c r="I225" s="35"/>
      <c r="J225" s="35"/>
      <c r="N225" s="33"/>
      <c r="O225" s="36"/>
    </row>
    <row r="226" spans="3:15" x14ac:dyDescent="0.25">
      <c r="C226" s="24"/>
      <c r="F226" s="33"/>
      <c r="H226" s="34"/>
      <c r="I226" s="35"/>
      <c r="J226" s="35"/>
      <c r="N226" s="33"/>
      <c r="O226" s="36"/>
    </row>
    <row r="227" spans="3:15" x14ac:dyDescent="0.25">
      <c r="C227" s="24"/>
      <c r="F227" s="33"/>
      <c r="H227" s="34"/>
      <c r="I227" s="35"/>
      <c r="J227" s="35"/>
      <c r="N227" s="33"/>
      <c r="O227" s="36"/>
    </row>
    <row r="228" spans="3:15" x14ac:dyDescent="0.25">
      <c r="C228" s="24"/>
      <c r="F228" s="33"/>
      <c r="H228" s="34"/>
      <c r="I228" s="35"/>
      <c r="J228" s="35"/>
      <c r="N228" s="33"/>
      <c r="O228" s="36"/>
    </row>
    <row r="229" spans="3:15" x14ac:dyDescent="0.25">
      <c r="C229" s="24"/>
      <c r="F229" s="33"/>
      <c r="H229" s="34"/>
      <c r="I229" s="35"/>
      <c r="J229" s="35"/>
      <c r="N229" s="33"/>
      <c r="O229" s="36"/>
    </row>
    <row r="230" spans="3:15" x14ac:dyDescent="0.25">
      <c r="C230" s="24"/>
      <c r="F230" s="33"/>
      <c r="H230" s="34"/>
      <c r="I230" s="35"/>
      <c r="J230" s="35"/>
      <c r="N230" s="33"/>
      <c r="O230" s="36"/>
    </row>
    <row r="231" spans="3:15" x14ac:dyDescent="0.25">
      <c r="C231" s="24"/>
      <c r="F231" s="33"/>
      <c r="H231" s="34"/>
      <c r="I231" s="35"/>
      <c r="J231" s="35"/>
      <c r="N231" s="33"/>
      <c r="O231" s="36"/>
    </row>
    <row r="232" spans="3:15" x14ac:dyDescent="0.25">
      <c r="C232" s="24"/>
      <c r="F232" s="33"/>
      <c r="H232" s="34"/>
      <c r="I232" s="35"/>
      <c r="J232" s="35"/>
      <c r="N232" s="33"/>
      <c r="O232" s="36"/>
    </row>
    <row r="233" spans="3:15" x14ac:dyDescent="0.25">
      <c r="C233" s="24"/>
      <c r="F233" s="33"/>
      <c r="H233" s="34"/>
      <c r="I233" s="35"/>
      <c r="J233" s="35"/>
      <c r="N233" s="33"/>
      <c r="O233" s="36"/>
    </row>
    <row r="234" spans="3:15" x14ac:dyDescent="0.25">
      <c r="C234" s="24"/>
      <c r="F234" s="33"/>
      <c r="H234" s="34"/>
      <c r="I234" s="35"/>
      <c r="J234" s="35"/>
      <c r="N234" s="33"/>
      <c r="O234" s="36"/>
    </row>
    <row r="235" spans="3:15" x14ac:dyDescent="0.25">
      <c r="C235" s="24"/>
      <c r="F235" s="33"/>
      <c r="H235" s="34"/>
      <c r="I235" s="35"/>
      <c r="J235" s="35"/>
      <c r="N235" s="33"/>
      <c r="O235" s="36"/>
    </row>
    <row r="236" spans="3:15" x14ac:dyDescent="0.25">
      <c r="C236" s="24"/>
      <c r="F236" s="33"/>
      <c r="H236" s="34"/>
      <c r="I236" s="35"/>
      <c r="J236" s="35"/>
      <c r="N236" s="33"/>
      <c r="O236" s="36"/>
    </row>
    <row r="237" spans="3:15" x14ac:dyDescent="0.25">
      <c r="C237" s="24"/>
      <c r="F237" s="33"/>
      <c r="H237" s="34"/>
      <c r="I237" s="35"/>
      <c r="J237" s="35"/>
      <c r="N237" s="33"/>
      <c r="O237" s="36"/>
    </row>
    <row r="238" spans="3:15" x14ac:dyDescent="0.25">
      <c r="C238" s="24"/>
      <c r="F238" s="33"/>
      <c r="H238" s="34"/>
      <c r="I238" s="35"/>
      <c r="J238" s="35"/>
      <c r="N238" s="33"/>
      <c r="O238" s="36"/>
    </row>
    <row r="239" spans="3:15" x14ac:dyDescent="0.25">
      <c r="C239" s="24"/>
      <c r="F239" s="33"/>
      <c r="H239" s="34"/>
      <c r="I239" s="35"/>
      <c r="J239" s="35"/>
      <c r="N239" s="33"/>
      <c r="O239" s="36"/>
    </row>
    <row r="240" spans="3:15" x14ac:dyDescent="0.25">
      <c r="C240" s="24"/>
      <c r="F240" s="33"/>
      <c r="H240" s="34"/>
      <c r="I240" s="35"/>
      <c r="J240" s="35"/>
      <c r="N240" s="33"/>
      <c r="O240" s="36"/>
    </row>
    <row r="241" spans="3:15" x14ac:dyDescent="0.25">
      <c r="C241" s="24"/>
      <c r="F241" s="33"/>
      <c r="H241" s="34"/>
      <c r="I241" s="35"/>
      <c r="J241" s="35"/>
      <c r="N241" s="33"/>
      <c r="O241" s="36"/>
    </row>
    <row r="242" spans="3:15" x14ac:dyDescent="0.25">
      <c r="C242" s="24"/>
      <c r="F242" s="33"/>
      <c r="H242" s="34"/>
      <c r="I242" s="35"/>
      <c r="J242" s="35"/>
      <c r="N242" s="33"/>
      <c r="O242" s="36"/>
    </row>
    <row r="243" spans="3:15" x14ac:dyDescent="0.25">
      <c r="C243" s="24"/>
      <c r="F243" s="33"/>
      <c r="H243" s="34"/>
      <c r="I243" s="35"/>
      <c r="J243" s="35"/>
      <c r="N243" s="33"/>
      <c r="O243" s="36"/>
    </row>
    <row r="244" spans="3:15" x14ac:dyDescent="0.25">
      <c r="C244" s="24"/>
      <c r="F244" s="33"/>
      <c r="H244" s="34"/>
      <c r="I244" s="35"/>
      <c r="J244" s="35"/>
      <c r="N244" s="33"/>
      <c r="O244" s="36"/>
    </row>
    <row r="245" spans="3:15" x14ac:dyDescent="0.25">
      <c r="C245" s="24"/>
      <c r="F245" s="33"/>
      <c r="H245" s="34"/>
      <c r="I245" s="35"/>
      <c r="J245" s="35"/>
      <c r="N245" s="33"/>
      <c r="O245" s="36"/>
    </row>
    <row r="246" spans="3:15" x14ac:dyDescent="0.25">
      <c r="C246" s="24"/>
      <c r="F246" s="33"/>
      <c r="H246" s="34"/>
      <c r="I246" s="35"/>
      <c r="J246" s="35"/>
      <c r="N246" s="33"/>
      <c r="O246" s="36"/>
    </row>
    <row r="247" spans="3:15" x14ac:dyDescent="0.25">
      <c r="C247" s="24"/>
      <c r="F247" s="33"/>
      <c r="H247" s="34"/>
      <c r="I247" s="35"/>
      <c r="J247" s="35"/>
      <c r="N247" s="33"/>
      <c r="O247" s="36"/>
    </row>
    <row r="248" spans="3:15" x14ac:dyDescent="0.25">
      <c r="C248" s="24"/>
      <c r="F248" s="33"/>
      <c r="H248" s="34"/>
      <c r="I248" s="35"/>
      <c r="J248" s="35"/>
      <c r="N248" s="33"/>
      <c r="O248" s="36"/>
    </row>
    <row r="249" spans="3:15" x14ac:dyDescent="0.25">
      <c r="C249" s="24"/>
      <c r="F249" s="33"/>
      <c r="H249" s="34"/>
      <c r="I249" s="35"/>
      <c r="J249" s="35"/>
      <c r="N249" s="33"/>
      <c r="O249" s="36"/>
    </row>
    <row r="250" spans="3:15" x14ac:dyDescent="0.25">
      <c r="C250" s="24"/>
      <c r="F250" s="33"/>
      <c r="H250" s="34"/>
      <c r="I250" s="35"/>
      <c r="J250" s="35"/>
      <c r="N250" s="33"/>
      <c r="O250" s="36"/>
    </row>
    <row r="251" spans="3:15" x14ac:dyDescent="0.25">
      <c r="C251" s="24"/>
      <c r="F251" s="33"/>
      <c r="H251" s="34"/>
      <c r="I251" s="35"/>
      <c r="J251" s="35"/>
      <c r="N251" s="33"/>
      <c r="O251" s="36"/>
    </row>
    <row r="252" spans="3:15" x14ac:dyDescent="0.25">
      <c r="C252" s="24"/>
      <c r="F252" s="33"/>
      <c r="H252" s="34"/>
      <c r="I252" s="35"/>
      <c r="J252" s="35"/>
      <c r="N252" s="33"/>
      <c r="O252" s="36"/>
    </row>
    <row r="253" spans="3:15" x14ac:dyDescent="0.25">
      <c r="C253" s="24"/>
      <c r="F253" s="33"/>
      <c r="H253" s="34"/>
      <c r="I253" s="35"/>
      <c r="J253" s="35"/>
      <c r="N253" s="33"/>
      <c r="O253" s="36"/>
    </row>
    <row r="254" spans="3:15" x14ac:dyDescent="0.25">
      <c r="C254" s="24"/>
      <c r="F254" s="33"/>
      <c r="H254" s="34"/>
      <c r="I254" s="35"/>
      <c r="J254" s="35"/>
      <c r="N254" s="33"/>
      <c r="O254" s="36"/>
    </row>
    <row r="255" spans="3:15" x14ac:dyDescent="0.25">
      <c r="C255" s="24"/>
      <c r="F255" s="33"/>
      <c r="H255" s="34"/>
      <c r="I255" s="35"/>
      <c r="J255" s="35"/>
      <c r="N255" s="33"/>
      <c r="O255" s="36"/>
    </row>
    <row r="256" spans="3:15" x14ac:dyDescent="0.25">
      <c r="C256" s="24"/>
      <c r="F256" s="33"/>
      <c r="H256" s="34"/>
      <c r="I256" s="35"/>
      <c r="J256" s="35"/>
      <c r="N256" s="33"/>
      <c r="O256" s="36"/>
    </row>
    <row r="257" spans="3:15" x14ac:dyDescent="0.25">
      <c r="C257" s="24"/>
      <c r="F257" s="33"/>
      <c r="H257" s="34"/>
      <c r="I257" s="35"/>
      <c r="J257" s="35"/>
      <c r="N257" s="33"/>
      <c r="O257" s="36"/>
    </row>
    <row r="258" spans="3:15" x14ac:dyDescent="0.25">
      <c r="C258" s="24"/>
      <c r="F258" s="33"/>
      <c r="H258" s="34"/>
      <c r="I258" s="35"/>
      <c r="J258" s="35"/>
      <c r="N258" s="33"/>
      <c r="O258" s="36"/>
    </row>
    <row r="259" spans="3:15" x14ac:dyDescent="0.25">
      <c r="C259" s="24"/>
      <c r="F259" s="33"/>
      <c r="H259" s="34"/>
      <c r="I259" s="35"/>
      <c r="J259" s="35"/>
      <c r="N259" s="33"/>
      <c r="O259" s="36"/>
    </row>
    <row r="260" spans="3:15" x14ac:dyDescent="0.25">
      <c r="C260" s="24"/>
      <c r="F260" s="33"/>
      <c r="H260" s="34"/>
      <c r="I260" s="35"/>
      <c r="J260" s="35"/>
      <c r="N260" s="33"/>
      <c r="O260" s="36"/>
    </row>
    <row r="261" spans="3:15" x14ac:dyDescent="0.25">
      <c r="C261" s="24"/>
      <c r="F261" s="33"/>
      <c r="H261" s="34"/>
      <c r="I261" s="35"/>
      <c r="J261" s="35"/>
      <c r="N261" s="33"/>
      <c r="O261" s="36"/>
    </row>
    <row r="262" spans="3:15" x14ac:dyDescent="0.25">
      <c r="C262" s="24"/>
      <c r="F262" s="33"/>
      <c r="H262" s="34"/>
      <c r="I262" s="35"/>
      <c r="J262" s="35"/>
      <c r="N262" s="33"/>
      <c r="O262" s="36"/>
    </row>
    <row r="263" spans="3:15" x14ac:dyDescent="0.25">
      <c r="C263" s="24"/>
      <c r="F263" s="33"/>
      <c r="H263" s="34"/>
      <c r="I263" s="35"/>
      <c r="J263" s="35"/>
      <c r="N263" s="33"/>
      <c r="O263" s="36"/>
    </row>
    <row r="264" spans="3:15" x14ac:dyDescent="0.25">
      <c r="C264" s="24"/>
      <c r="F264" s="33"/>
      <c r="H264" s="34"/>
      <c r="I264" s="35"/>
      <c r="J264" s="35"/>
      <c r="N264" s="33"/>
      <c r="O264" s="36"/>
    </row>
    <row r="265" spans="3:15" x14ac:dyDescent="0.25">
      <c r="C265" s="24"/>
      <c r="F265" s="33"/>
      <c r="H265" s="34"/>
      <c r="I265" s="35"/>
      <c r="J265" s="35"/>
      <c r="N265" s="33"/>
      <c r="O265" s="36"/>
    </row>
    <row r="266" spans="3:15" x14ac:dyDescent="0.25">
      <c r="C266" s="24"/>
      <c r="F266" s="33"/>
      <c r="H266" s="34"/>
      <c r="I266" s="35"/>
      <c r="J266" s="35"/>
      <c r="N266" s="33"/>
      <c r="O266" s="36"/>
    </row>
    <row r="267" spans="3:15" x14ac:dyDescent="0.25">
      <c r="C267" s="24"/>
      <c r="F267" s="33"/>
      <c r="H267" s="34"/>
      <c r="I267" s="35"/>
      <c r="J267" s="35"/>
      <c r="N267" s="33"/>
      <c r="O267" s="36"/>
    </row>
    <row r="268" spans="3:15" x14ac:dyDescent="0.25">
      <c r="C268" s="24"/>
      <c r="F268" s="33"/>
      <c r="H268" s="34"/>
      <c r="I268" s="35"/>
      <c r="J268" s="35"/>
      <c r="N268" s="33"/>
      <c r="O268" s="36"/>
    </row>
    <row r="269" spans="3:15" x14ac:dyDescent="0.25">
      <c r="C269" s="24"/>
      <c r="F269" s="33"/>
      <c r="H269" s="34"/>
      <c r="I269" s="35"/>
      <c r="J269" s="35"/>
      <c r="N269" s="33"/>
      <c r="O269" s="36"/>
    </row>
    <row r="270" spans="3:15" x14ac:dyDescent="0.25">
      <c r="C270" s="24"/>
      <c r="F270" s="33"/>
      <c r="H270" s="34"/>
      <c r="I270" s="35"/>
      <c r="J270" s="35"/>
      <c r="N270" s="33"/>
      <c r="O270" s="36"/>
    </row>
    <row r="271" spans="3:15" x14ac:dyDescent="0.25">
      <c r="C271" s="24"/>
      <c r="F271" s="33"/>
      <c r="H271" s="34"/>
      <c r="I271" s="35"/>
      <c r="J271" s="35"/>
      <c r="N271" s="33"/>
      <c r="O271" s="36"/>
    </row>
    <row r="272" spans="3:15" x14ac:dyDescent="0.25">
      <c r="C272" s="24"/>
      <c r="F272" s="33"/>
      <c r="H272" s="34"/>
      <c r="I272" s="35"/>
      <c r="J272" s="35"/>
      <c r="N272" s="33"/>
      <c r="O272" s="36"/>
    </row>
    <row r="273" spans="3:15" x14ac:dyDescent="0.25">
      <c r="C273" s="24"/>
      <c r="F273" s="33"/>
      <c r="H273" s="34"/>
      <c r="I273" s="35"/>
      <c r="J273" s="35"/>
      <c r="N273" s="33"/>
      <c r="O273" s="36"/>
    </row>
    <row r="274" spans="3:15" x14ac:dyDescent="0.25">
      <c r="C274" s="24"/>
      <c r="F274" s="33"/>
      <c r="H274" s="34"/>
      <c r="I274" s="35"/>
      <c r="J274" s="35"/>
      <c r="N274" s="33"/>
      <c r="O274" s="36"/>
    </row>
    <row r="275" spans="3:15" x14ac:dyDescent="0.25">
      <c r="C275" s="24"/>
      <c r="F275" s="33"/>
      <c r="H275" s="34"/>
      <c r="I275" s="35"/>
      <c r="J275" s="35"/>
      <c r="N275" s="33"/>
      <c r="O275" s="36"/>
    </row>
    <row r="276" spans="3:15" x14ac:dyDescent="0.25">
      <c r="C276" s="24"/>
      <c r="F276" s="33"/>
      <c r="H276" s="34"/>
      <c r="I276" s="35"/>
      <c r="J276" s="35"/>
      <c r="N276" s="33"/>
      <c r="O276" s="36"/>
    </row>
    <row r="277" spans="3:15" x14ac:dyDescent="0.25">
      <c r="C277" s="24"/>
      <c r="F277" s="33"/>
      <c r="H277" s="34"/>
      <c r="I277" s="35"/>
      <c r="J277" s="35"/>
      <c r="N277" s="33"/>
      <c r="O277" s="36"/>
    </row>
    <row r="278" spans="3:15" x14ac:dyDescent="0.25">
      <c r="C278" s="24"/>
      <c r="F278" s="33"/>
      <c r="H278" s="34"/>
      <c r="I278" s="35"/>
      <c r="J278" s="35"/>
      <c r="N278" s="33"/>
      <c r="O278" s="36"/>
    </row>
    <row r="279" spans="3:15" x14ac:dyDescent="0.25">
      <c r="C279" s="24"/>
      <c r="F279" s="33"/>
      <c r="H279" s="34"/>
      <c r="I279" s="35"/>
      <c r="J279" s="35"/>
      <c r="N279" s="33"/>
      <c r="O279" s="36"/>
    </row>
    <row r="280" spans="3:15" x14ac:dyDescent="0.25">
      <c r="C280" s="24"/>
      <c r="F280" s="33"/>
      <c r="H280" s="34"/>
      <c r="I280" s="35"/>
      <c r="J280" s="35"/>
      <c r="N280" s="33"/>
      <c r="O280" s="36"/>
    </row>
    <row r="281" spans="3:15" x14ac:dyDescent="0.25">
      <c r="C281" s="24"/>
      <c r="F281" s="33"/>
      <c r="H281" s="34"/>
      <c r="I281" s="35"/>
      <c r="J281" s="35"/>
      <c r="N281" s="33"/>
      <c r="O281" s="36"/>
    </row>
    <row r="282" spans="3:15" x14ac:dyDescent="0.25">
      <c r="C282" s="24"/>
      <c r="F282" s="33"/>
      <c r="H282" s="34"/>
      <c r="I282" s="35"/>
      <c r="J282" s="35"/>
      <c r="N282" s="33"/>
      <c r="O282" s="36"/>
    </row>
    <row r="283" spans="3:15" x14ac:dyDescent="0.25">
      <c r="C283" s="24"/>
      <c r="F283" s="33"/>
      <c r="H283" s="34"/>
      <c r="I283" s="35"/>
      <c r="J283" s="35"/>
      <c r="N283" s="33"/>
      <c r="O283" s="36"/>
    </row>
    <row r="284" spans="3:15" x14ac:dyDescent="0.25">
      <c r="C284" s="24"/>
      <c r="F284" s="33"/>
      <c r="H284" s="34"/>
      <c r="I284" s="35"/>
      <c r="J284" s="35"/>
      <c r="N284" s="33"/>
      <c r="O284" s="36"/>
    </row>
    <row r="285" spans="3:15" x14ac:dyDescent="0.25">
      <c r="C285" s="24"/>
      <c r="F285" s="33"/>
      <c r="H285" s="34"/>
      <c r="I285" s="35"/>
      <c r="J285" s="35"/>
      <c r="N285" s="33"/>
      <c r="O285" s="36"/>
    </row>
    <row r="286" spans="3:15" x14ac:dyDescent="0.25">
      <c r="C286" s="24"/>
      <c r="F286" s="33"/>
      <c r="H286" s="34"/>
      <c r="I286" s="35"/>
      <c r="J286" s="35"/>
      <c r="N286" s="33"/>
      <c r="O286" s="36"/>
    </row>
    <row r="287" spans="3:15" x14ac:dyDescent="0.25">
      <c r="C287" s="24"/>
      <c r="F287" s="33"/>
      <c r="H287" s="34"/>
      <c r="I287" s="35"/>
      <c r="J287" s="35"/>
      <c r="N287" s="33"/>
      <c r="O287" s="36"/>
    </row>
    <row r="288" spans="3:15" x14ac:dyDescent="0.25">
      <c r="C288" s="24"/>
      <c r="F288" s="33"/>
      <c r="H288" s="34"/>
      <c r="I288" s="35"/>
      <c r="J288" s="35"/>
      <c r="N288" s="33"/>
      <c r="O288" s="36"/>
    </row>
    <row r="289" spans="3:15" x14ac:dyDescent="0.25">
      <c r="C289" s="24"/>
      <c r="F289" s="33"/>
      <c r="H289" s="34"/>
      <c r="I289" s="35"/>
      <c r="J289" s="35"/>
      <c r="N289" s="33"/>
      <c r="O289" s="36"/>
    </row>
    <row r="290" spans="3:15" x14ac:dyDescent="0.25">
      <c r="C290" s="24"/>
      <c r="F290" s="33"/>
      <c r="H290" s="34"/>
      <c r="I290" s="35"/>
      <c r="J290" s="35"/>
      <c r="N290" s="33"/>
      <c r="O290" s="36"/>
    </row>
    <row r="291" spans="3:15" x14ac:dyDescent="0.25">
      <c r="C291" s="24"/>
      <c r="F291" s="33"/>
      <c r="H291" s="34"/>
      <c r="I291" s="35"/>
      <c r="J291" s="35"/>
      <c r="N291" s="33"/>
      <c r="O291" s="36"/>
    </row>
    <row r="292" spans="3:15" x14ac:dyDescent="0.25">
      <c r="C292" s="24"/>
      <c r="F292" s="33"/>
      <c r="H292" s="34"/>
      <c r="I292" s="35"/>
      <c r="J292" s="35"/>
      <c r="N292" s="33"/>
      <c r="O292" s="36"/>
    </row>
    <row r="293" spans="3:15" x14ac:dyDescent="0.25">
      <c r="C293" s="24"/>
      <c r="F293" s="33"/>
      <c r="H293" s="34"/>
      <c r="I293" s="35"/>
      <c r="J293" s="35"/>
      <c r="N293" s="33"/>
      <c r="O293" s="36"/>
    </row>
    <row r="294" spans="3:15" x14ac:dyDescent="0.25">
      <c r="C294" s="24"/>
      <c r="F294" s="33"/>
      <c r="H294" s="34"/>
      <c r="I294" s="35"/>
      <c r="J294" s="35"/>
      <c r="N294" s="33"/>
      <c r="O294" s="36"/>
    </row>
    <row r="295" spans="3:15" x14ac:dyDescent="0.25">
      <c r="C295" s="24"/>
      <c r="F295" s="33"/>
      <c r="H295" s="34"/>
      <c r="I295" s="35"/>
      <c r="J295" s="35"/>
      <c r="N295" s="33"/>
      <c r="O295" s="36"/>
    </row>
    <row r="296" spans="3:15" x14ac:dyDescent="0.25">
      <c r="C296" s="24"/>
      <c r="F296" s="33"/>
      <c r="H296" s="34"/>
      <c r="I296" s="35"/>
      <c r="J296" s="35"/>
      <c r="N296" s="33"/>
      <c r="O296" s="36"/>
    </row>
    <row r="297" spans="3:15" x14ac:dyDescent="0.25">
      <c r="C297" s="24"/>
      <c r="F297" s="33"/>
      <c r="H297" s="34"/>
      <c r="I297" s="35"/>
      <c r="J297" s="35"/>
      <c r="N297" s="33"/>
      <c r="O297" s="36"/>
    </row>
    <row r="298" spans="3:15" x14ac:dyDescent="0.25">
      <c r="C298" s="24"/>
      <c r="F298" s="33"/>
      <c r="H298" s="34"/>
      <c r="I298" s="35"/>
      <c r="J298" s="35"/>
      <c r="N298" s="33"/>
      <c r="O298" s="36"/>
    </row>
    <row r="299" spans="3:15" x14ac:dyDescent="0.25">
      <c r="C299" s="24"/>
      <c r="F299" s="33"/>
      <c r="H299" s="34"/>
      <c r="I299" s="35"/>
      <c r="J299" s="35"/>
      <c r="N299" s="33"/>
      <c r="O299" s="36"/>
    </row>
    <row r="300" spans="3:15" x14ac:dyDescent="0.25">
      <c r="C300" s="24"/>
      <c r="F300" s="33"/>
      <c r="H300" s="34"/>
      <c r="I300" s="35"/>
      <c r="J300" s="35"/>
      <c r="N300" s="33"/>
      <c r="O300" s="36"/>
    </row>
    <row r="301" spans="3:15" x14ac:dyDescent="0.25">
      <c r="C301" s="24"/>
      <c r="F301" s="33"/>
      <c r="H301" s="34"/>
      <c r="I301" s="35"/>
      <c r="J301" s="35"/>
      <c r="N301" s="33"/>
      <c r="O301" s="36"/>
    </row>
    <row r="302" spans="3:15" x14ac:dyDescent="0.25">
      <c r="C302" s="24"/>
      <c r="F302" s="33"/>
      <c r="H302" s="34"/>
      <c r="I302" s="35"/>
      <c r="J302" s="35"/>
      <c r="N302" s="33"/>
      <c r="O302" s="36"/>
    </row>
    <row r="303" spans="3:15" x14ac:dyDescent="0.25">
      <c r="C303" s="24"/>
      <c r="F303" s="33"/>
      <c r="H303" s="34"/>
      <c r="I303" s="35"/>
      <c r="J303" s="35"/>
      <c r="N303" s="33"/>
      <c r="O303" s="36"/>
    </row>
    <row r="304" spans="3:15" x14ac:dyDescent="0.25">
      <c r="C304" s="24"/>
      <c r="F304" s="33"/>
      <c r="H304" s="34"/>
      <c r="I304" s="35"/>
      <c r="J304" s="35"/>
      <c r="N304" s="33"/>
      <c r="O304" s="36"/>
    </row>
    <row r="305" spans="3:15" x14ac:dyDescent="0.25">
      <c r="C305" s="24"/>
      <c r="F305" s="33"/>
      <c r="H305" s="34"/>
      <c r="I305" s="35"/>
      <c r="J305" s="35"/>
      <c r="N305" s="33"/>
      <c r="O305" s="36"/>
    </row>
    <row r="306" spans="3:15" x14ac:dyDescent="0.25">
      <c r="C306" s="24"/>
      <c r="F306" s="33"/>
      <c r="H306" s="34"/>
      <c r="I306" s="35"/>
      <c r="J306" s="35"/>
      <c r="N306" s="33"/>
      <c r="O306" s="36"/>
    </row>
    <row r="307" spans="3:15" x14ac:dyDescent="0.25">
      <c r="C307" s="24"/>
      <c r="F307" s="33"/>
      <c r="H307" s="34"/>
      <c r="I307" s="35"/>
      <c r="J307" s="35"/>
      <c r="N307" s="33"/>
      <c r="O307" s="36"/>
    </row>
    <row r="308" spans="3:15" x14ac:dyDescent="0.25">
      <c r="C308" s="24"/>
      <c r="F308" s="33"/>
      <c r="H308" s="34"/>
      <c r="I308" s="35"/>
      <c r="J308" s="35"/>
      <c r="N308" s="33"/>
      <c r="O308" s="36"/>
    </row>
    <row r="309" spans="3:15" x14ac:dyDescent="0.25">
      <c r="C309" s="24"/>
      <c r="F309" s="33"/>
      <c r="H309" s="34"/>
      <c r="I309" s="35"/>
      <c r="J309" s="35"/>
      <c r="N309" s="33"/>
      <c r="O309" s="36"/>
    </row>
    <row r="310" spans="3:15" x14ac:dyDescent="0.25">
      <c r="C310" s="24"/>
      <c r="F310" s="33"/>
      <c r="H310" s="34"/>
      <c r="I310" s="35"/>
      <c r="J310" s="35"/>
      <c r="N310" s="33"/>
      <c r="O310" s="36"/>
    </row>
    <row r="311" spans="3:15" x14ac:dyDescent="0.25">
      <c r="C311" s="24"/>
      <c r="F311" s="33"/>
      <c r="H311" s="34"/>
      <c r="I311" s="35"/>
      <c r="J311" s="35"/>
      <c r="N311" s="33"/>
      <c r="O311" s="36"/>
    </row>
    <row r="312" spans="3:15" x14ac:dyDescent="0.25">
      <c r="C312" s="24"/>
      <c r="F312" s="33"/>
      <c r="H312" s="34"/>
      <c r="I312" s="35"/>
      <c r="J312" s="35"/>
      <c r="N312" s="33"/>
      <c r="O312" s="36"/>
    </row>
    <row r="313" spans="3:15" x14ac:dyDescent="0.25">
      <c r="C313" s="24"/>
      <c r="F313" s="33"/>
      <c r="H313" s="34"/>
      <c r="I313" s="35"/>
      <c r="J313" s="35"/>
      <c r="N313" s="33"/>
      <c r="O313" s="36"/>
    </row>
    <row r="314" spans="3:15" x14ac:dyDescent="0.25">
      <c r="C314" s="24"/>
      <c r="F314" s="33"/>
      <c r="H314" s="34"/>
      <c r="I314" s="35"/>
      <c r="J314" s="35"/>
      <c r="N314" s="33"/>
      <c r="O314" s="36"/>
    </row>
    <row r="315" spans="3:15" x14ac:dyDescent="0.25">
      <c r="C315" s="24"/>
      <c r="F315" s="33"/>
      <c r="H315" s="34"/>
      <c r="I315" s="35"/>
      <c r="J315" s="35"/>
      <c r="N315" s="33"/>
      <c r="O315" s="36"/>
    </row>
    <row r="316" spans="3:15" x14ac:dyDescent="0.25">
      <c r="C316" s="24"/>
      <c r="F316" s="33"/>
      <c r="H316" s="34"/>
      <c r="I316" s="35"/>
      <c r="J316" s="35"/>
      <c r="N316" s="33"/>
      <c r="O316" s="36"/>
    </row>
    <row r="317" spans="3:15" x14ac:dyDescent="0.25">
      <c r="C317" s="24"/>
      <c r="F317" s="33"/>
      <c r="H317" s="34"/>
      <c r="I317" s="35"/>
      <c r="J317" s="35"/>
      <c r="N317" s="33"/>
      <c r="O317" s="36"/>
    </row>
    <row r="318" spans="3:15" x14ac:dyDescent="0.25">
      <c r="C318" s="24"/>
      <c r="F318" s="33"/>
      <c r="H318" s="34"/>
      <c r="I318" s="35"/>
      <c r="J318" s="35"/>
      <c r="N318" s="33"/>
      <c r="O318" s="36"/>
    </row>
    <row r="319" spans="3:15" x14ac:dyDescent="0.25">
      <c r="C319" s="24"/>
      <c r="F319" s="33"/>
      <c r="H319" s="34"/>
      <c r="I319" s="35"/>
      <c r="J319" s="35"/>
      <c r="N319" s="33"/>
      <c r="O319" s="36"/>
    </row>
    <row r="320" spans="3:15" x14ac:dyDescent="0.25">
      <c r="C320" s="24"/>
      <c r="F320" s="33"/>
      <c r="H320" s="34"/>
      <c r="I320" s="35"/>
      <c r="J320" s="35"/>
      <c r="N320" s="33"/>
      <c r="O320" s="36"/>
    </row>
    <row r="321" spans="3:15" x14ac:dyDescent="0.25">
      <c r="C321" s="24"/>
      <c r="F321" s="33"/>
      <c r="H321" s="34"/>
      <c r="I321" s="35"/>
      <c r="J321" s="35"/>
      <c r="N321" s="33"/>
      <c r="O321" s="36"/>
    </row>
    <row r="322" spans="3:15" x14ac:dyDescent="0.25">
      <c r="C322" s="24"/>
      <c r="F322" s="33"/>
      <c r="H322" s="34"/>
      <c r="I322" s="35"/>
      <c r="J322" s="35"/>
      <c r="N322" s="33"/>
      <c r="O322" s="36"/>
    </row>
    <row r="323" spans="3:15" x14ac:dyDescent="0.25">
      <c r="C323" s="24"/>
      <c r="F323" s="33"/>
      <c r="H323" s="34"/>
      <c r="I323" s="35"/>
      <c r="J323" s="35"/>
      <c r="N323" s="33"/>
      <c r="O323" s="36"/>
    </row>
    <row r="324" spans="3:15" x14ac:dyDescent="0.25">
      <c r="C324" s="24"/>
      <c r="F324" s="33"/>
      <c r="H324" s="34"/>
      <c r="I324" s="35"/>
      <c r="J324" s="35"/>
      <c r="N324" s="33"/>
      <c r="O324" s="36"/>
    </row>
    <row r="325" spans="3:15" x14ac:dyDescent="0.25">
      <c r="C325" s="24"/>
      <c r="F325" s="33"/>
      <c r="H325" s="34"/>
      <c r="I325" s="35"/>
      <c r="J325" s="35"/>
      <c r="N325" s="33"/>
      <c r="O325" s="36"/>
    </row>
    <row r="326" spans="3:15" x14ac:dyDescent="0.25">
      <c r="C326" s="24"/>
      <c r="F326" s="33"/>
      <c r="H326" s="34"/>
      <c r="I326" s="35"/>
      <c r="J326" s="35"/>
      <c r="N326" s="33"/>
      <c r="O326" s="36"/>
    </row>
    <row r="327" spans="3:15" x14ac:dyDescent="0.25">
      <c r="C327" s="24"/>
      <c r="F327" s="33"/>
      <c r="H327" s="34"/>
      <c r="I327" s="35"/>
      <c r="J327" s="35"/>
      <c r="N327" s="33"/>
      <c r="O327" s="36"/>
    </row>
    <row r="328" spans="3:15" x14ac:dyDescent="0.25">
      <c r="C328" s="24"/>
      <c r="F328" s="33"/>
      <c r="H328" s="34"/>
      <c r="I328" s="35"/>
      <c r="J328" s="35"/>
      <c r="N328" s="33"/>
      <c r="O328" s="36"/>
    </row>
    <row r="329" spans="3:15" x14ac:dyDescent="0.25">
      <c r="C329" s="24"/>
      <c r="F329" s="33"/>
      <c r="H329" s="34"/>
      <c r="I329" s="35"/>
      <c r="J329" s="35"/>
      <c r="N329" s="33"/>
      <c r="O329" s="36"/>
    </row>
    <row r="330" spans="3:15" x14ac:dyDescent="0.25">
      <c r="C330" s="24"/>
      <c r="F330" s="33"/>
      <c r="H330" s="34"/>
      <c r="I330" s="35"/>
      <c r="J330" s="35"/>
      <c r="N330" s="33"/>
      <c r="O330" s="36"/>
    </row>
    <row r="331" spans="3:15" x14ac:dyDescent="0.25">
      <c r="C331" s="24"/>
      <c r="F331" s="33"/>
      <c r="H331" s="34"/>
      <c r="I331" s="35"/>
      <c r="J331" s="35"/>
      <c r="N331" s="33"/>
      <c r="O331" s="36"/>
    </row>
    <row r="332" spans="3:15" x14ac:dyDescent="0.25">
      <c r="C332" s="24"/>
      <c r="F332" s="33"/>
      <c r="H332" s="34"/>
      <c r="I332" s="35"/>
      <c r="J332" s="35"/>
      <c r="N332" s="33"/>
      <c r="O332" s="36"/>
    </row>
    <row r="333" spans="3:15" x14ac:dyDescent="0.25">
      <c r="C333" s="24"/>
      <c r="F333" s="33"/>
      <c r="H333" s="34"/>
      <c r="I333" s="35"/>
      <c r="J333" s="35"/>
      <c r="N333" s="33"/>
      <c r="O333" s="36"/>
    </row>
    <row r="334" spans="3:15" x14ac:dyDescent="0.25">
      <c r="C334" s="24"/>
      <c r="F334" s="33"/>
      <c r="H334" s="34"/>
      <c r="I334" s="35"/>
      <c r="J334" s="35"/>
      <c r="N334" s="33"/>
      <c r="O334" s="36"/>
    </row>
    <row r="335" spans="3:15" x14ac:dyDescent="0.25">
      <c r="C335" s="24"/>
      <c r="F335" s="33"/>
      <c r="H335" s="34"/>
      <c r="I335" s="35"/>
      <c r="J335" s="35"/>
      <c r="N335" s="33"/>
      <c r="O335" s="36"/>
    </row>
    <row r="336" spans="3:15" x14ac:dyDescent="0.25">
      <c r="C336" s="24"/>
      <c r="F336" s="33"/>
      <c r="H336" s="34"/>
      <c r="I336" s="35"/>
      <c r="J336" s="35"/>
      <c r="N336" s="33"/>
      <c r="O336" s="36"/>
    </row>
    <row r="337" spans="3:15" x14ac:dyDescent="0.25">
      <c r="C337" s="24"/>
      <c r="F337" s="33"/>
      <c r="H337" s="34"/>
      <c r="I337" s="35"/>
      <c r="J337" s="35"/>
      <c r="N337" s="33"/>
      <c r="O337" s="36"/>
    </row>
    <row r="338" spans="3:15" x14ac:dyDescent="0.25">
      <c r="C338" s="24"/>
      <c r="F338" s="33"/>
      <c r="H338" s="34"/>
      <c r="I338" s="35"/>
      <c r="J338" s="35"/>
      <c r="N338" s="33"/>
      <c r="O338" s="36"/>
    </row>
    <row r="339" spans="3:15" x14ac:dyDescent="0.25">
      <c r="C339" s="24"/>
      <c r="F339" s="33"/>
      <c r="H339" s="34"/>
      <c r="I339" s="35"/>
      <c r="J339" s="35"/>
      <c r="N339" s="33"/>
      <c r="O339" s="36"/>
    </row>
    <row r="340" spans="3:15" x14ac:dyDescent="0.25">
      <c r="C340" s="24"/>
      <c r="F340" s="33"/>
      <c r="H340" s="34"/>
      <c r="I340" s="35"/>
      <c r="J340" s="35"/>
      <c r="N340" s="33"/>
      <c r="O340" s="36"/>
    </row>
    <row r="341" spans="3:15" x14ac:dyDescent="0.25">
      <c r="C341" s="24"/>
      <c r="F341" s="33"/>
      <c r="H341" s="34"/>
      <c r="I341" s="35"/>
      <c r="J341" s="35"/>
      <c r="N341" s="33"/>
      <c r="O341" s="36"/>
    </row>
    <row r="342" spans="3:15" x14ac:dyDescent="0.25">
      <c r="C342" s="24"/>
      <c r="F342" s="33"/>
      <c r="H342" s="34"/>
      <c r="I342" s="35"/>
      <c r="J342" s="35"/>
      <c r="N342" s="33"/>
      <c r="O342" s="36"/>
    </row>
    <row r="343" spans="3:15" x14ac:dyDescent="0.25">
      <c r="C343" s="24"/>
      <c r="F343" s="33"/>
      <c r="H343" s="34"/>
      <c r="I343" s="35"/>
      <c r="J343" s="35"/>
      <c r="N343" s="33"/>
      <c r="O343" s="36"/>
    </row>
    <row r="344" spans="3:15" x14ac:dyDescent="0.25">
      <c r="C344" s="24"/>
      <c r="F344" s="33"/>
      <c r="H344" s="34"/>
      <c r="I344" s="35"/>
      <c r="J344" s="35"/>
      <c r="N344" s="33"/>
      <c r="O344" s="36"/>
    </row>
    <row r="345" spans="3:15" x14ac:dyDescent="0.25">
      <c r="C345" s="24"/>
      <c r="F345" s="33"/>
      <c r="H345" s="34"/>
      <c r="I345" s="35"/>
      <c r="J345" s="35"/>
      <c r="N345" s="33"/>
      <c r="O345" s="36"/>
    </row>
    <row r="346" spans="3:15" x14ac:dyDescent="0.25">
      <c r="C346" s="24"/>
      <c r="F346" s="33"/>
      <c r="H346" s="34"/>
      <c r="I346" s="35"/>
      <c r="J346" s="35"/>
      <c r="N346" s="33"/>
      <c r="O346" s="36"/>
    </row>
    <row r="347" spans="3:15" x14ac:dyDescent="0.25">
      <c r="C347" s="24"/>
      <c r="F347" s="33"/>
      <c r="H347" s="34"/>
      <c r="I347" s="35"/>
      <c r="J347" s="35"/>
      <c r="N347" s="33"/>
      <c r="O347" s="36"/>
    </row>
    <row r="348" spans="3:15" x14ac:dyDescent="0.25">
      <c r="C348" s="24"/>
      <c r="F348" s="33"/>
      <c r="H348" s="34"/>
      <c r="I348" s="35"/>
      <c r="J348" s="35"/>
      <c r="N348" s="33"/>
      <c r="O348" s="36"/>
    </row>
    <row r="349" spans="3:15" x14ac:dyDescent="0.25">
      <c r="C349" s="24"/>
      <c r="F349" s="33"/>
      <c r="H349" s="34"/>
      <c r="I349" s="35"/>
      <c r="J349" s="35"/>
      <c r="N349" s="33"/>
      <c r="O349" s="36"/>
    </row>
    <row r="350" spans="3:15" x14ac:dyDescent="0.25">
      <c r="C350" s="24"/>
      <c r="F350" s="33"/>
      <c r="H350" s="34"/>
      <c r="I350" s="35"/>
      <c r="J350" s="35"/>
      <c r="N350" s="33"/>
      <c r="O350" s="36"/>
    </row>
    <row r="351" spans="3:15" x14ac:dyDescent="0.25">
      <c r="C351" s="24"/>
      <c r="F351" s="33"/>
      <c r="H351" s="34"/>
      <c r="I351" s="35"/>
      <c r="J351" s="35"/>
      <c r="N351" s="33"/>
      <c r="O351" s="36"/>
    </row>
    <row r="352" spans="3:15" x14ac:dyDescent="0.25">
      <c r="C352" s="24"/>
      <c r="F352" s="33"/>
      <c r="H352" s="34"/>
      <c r="I352" s="35"/>
      <c r="J352" s="35"/>
      <c r="N352" s="33"/>
      <c r="O352" s="36"/>
    </row>
    <row r="353" spans="3:15" x14ac:dyDescent="0.25">
      <c r="C353" s="24"/>
      <c r="F353" s="33"/>
      <c r="H353" s="34"/>
      <c r="I353" s="35"/>
      <c r="J353" s="35"/>
      <c r="N353" s="33"/>
      <c r="O353" s="36"/>
    </row>
    <row r="354" spans="3:15" x14ac:dyDescent="0.25">
      <c r="C354" s="24"/>
      <c r="F354" s="33"/>
      <c r="H354" s="34"/>
      <c r="I354" s="35"/>
      <c r="J354" s="35"/>
      <c r="N354" s="33"/>
      <c r="O354" s="36"/>
    </row>
    <row r="355" spans="3:15" x14ac:dyDescent="0.25">
      <c r="C355" s="24"/>
      <c r="F355" s="33"/>
      <c r="H355" s="34"/>
      <c r="I355" s="35"/>
      <c r="J355" s="35"/>
      <c r="N355" s="33"/>
      <c r="O355" s="36"/>
    </row>
    <row r="356" spans="3:15" x14ac:dyDescent="0.25">
      <c r="C356" s="24"/>
      <c r="F356" s="33"/>
      <c r="H356" s="34"/>
      <c r="I356" s="35"/>
      <c r="J356" s="35"/>
      <c r="N356" s="33"/>
      <c r="O356" s="36"/>
    </row>
    <row r="357" spans="3:15" x14ac:dyDescent="0.25">
      <c r="C357" s="24"/>
      <c r="F357" s="33"/>
      <c r="H357" s="34"/>
      <c r="I357" s="35"/>
      <c r="J357" s="35"/>
      <c r="N357" s="33"/>
      <c r="O357" s="36"/>
    </row>
    <row r="358" spans="3:15" x14ac:dyDescent="0.25">
      <c r="C358" s="24"/>
      <c r="F358" s="33"/>
      <c r="H358" s="34"/>
      <c r="I358" s="35"/>
      <c r="J358" s="35"/>
      <c r="N358" s="33"/>
      <c r="O358" s="36"/>
    </row>
    <row r="359" spans="3:15" x14ac:dyDescent="0.25">
      <c r="C359" s="24"/>
      <c r="F359" s="33"/>
      <c r="H359" s="34"/>
      <c r="I359" s="35"/>
      <c r="J359" s="35"/>
      <c r="N359" s="33"/>
      <c r="O359" s="36"/>
    </row>
    <row r="360" spans="3:15" x14ac:dyDescent="0.25">
      <c r="C360" s="24"/>
      <c r="F360" s="33"/>
      <c r="H360" s="34"/>
      <c r="I360" s="35"/>
      <c r="J360" s="35"/>
      <c r="N360" s="33"/>
      <c r="O360" s="36"/>
    </row>
    <row r="361" spans="3:15" x14ac:dyDescent="0.25">
      <c r="C361" s="24"/>
      <c r="F361" s="33"/>
      <c r="H361" s="34"/>
      <c r="I361" s="35"/>
      <c r="J361" s="35"/>
      <c r="N361" s="33"/>
      <c r="O361" s="36"/>
    </row>
    <row r="362" spans="3:15" x14ac:dyDescent="0.25">
      <c r="C362" s="24"/>
      <c r="F362" s="33"/>
      <c r="H362" s="34"/>
      <c r="I362" s="35"/>
      <c r="J362" s="35"/>
      <c r="N362" s="33"/>
      <c r="O362" s="36"/>
    </row>
    <row r="363" spans="3:15" x14ac:dyDescent="0.25">
      <c r="C363" s="24"/>
      <c r="F363" s="33"/>
      <c r="H363" s="34"/>
      <c r="I363" s="35"/>
      <c r="J363" s="35"/>
      <c r="N363" s="33"/>
      <c r="O363" s="36"/>
    </row>
    <row r="364" spans="3:15" x14ac:dyDescent="0.25">
      <c r="C364" s="24"/>
      <c r="F364" s="33"/>
      <c r="H364" s="34"/>
      <c r="I364" s="35"/>
      <c r="J364" s="35"/>
      <c r="N364" s="33"/>
      <c r="O364" s="36"/>
    </row>
    <row r="365" spans="3:15" x14ac:dyDescent="0.25">
      <c r="C365" s="24"/>
      <c r="F365" s="33"/>
      <c r="H365" s="34"/>
      <c r="I365" s="35"/>
      <c r="J365" s="35"/>
      <c r="N365" s="33"/>
      <c r="O365" s="36"/>
    </row>
    <row r="366" spans="3:15" x14ac:dyDescent="0.25">
      <c r="C366" s="24"/>
      <c r="F366" s="33"/>
      <c r="H366" s="34"/>
      <c r="I366" s="35"/>
      <c r="J366" s="35"/>
      <c r="N366" s="33"/>
      <c r="O366" s="36"/>
    </row>
    <row r="367" spans="3:15" x14ac:dyDescent="0.25">
      <c r="C367" s="24"/>
      <c r="F367" s="33"/>
      <c r="H367" s="34"/>
      <c r="I367" s="35"/>
      <c r="J367" s="35"/>
      <c r="N367" s="33"/>
      <c r="O367" s="36"/>
    </row>
    <row r="368" spans="3:15" x14ac:dyDescent="0.25">
      <c r="C368" s="24"/>
      <c r="F368" s="33"/>
      <c r="H368" s="34"/>
      <c r="I368" s="35"/>
      <c r="J368" s="35"/>
      <c r="N368" s="33"/>
      <c r="O368" s="36"/>
    </row>
    <row r="369" spans="3:15" x14ac:dyDescent="0.25">
      <c r="C369" s="24"/>
      <c r="F369" s="33"/>
      <c r="H369" s="34"/>
      <c r="I369" s="35"/>
      <c r="J369" s="35"/>
      <c r="N369" s="33"/>
      <c r="O369" s="36"/>
    </row>
    <row r="370" spans="3:15" x14ac:dyDescent="0.25">
      <c r="C370" s="24"/>
      <c r="F370" s="33"/>
      <c r="H370" s="34"/>
      <c r="I370" s="35"/>
      <c r="J370" s="35"/>
      <c r="N370" s="33"/>
      <c r="O370" s="36"/>
    </row>
    <row r="371" spans="3:15" x14ac:dyDescent="0.25">
      <c r="C371" s="24"/>
      <c r="F371" s="33"/>
      <c r="H371" s="34"/>
      <c r="I371" s="35"/>
      <c r="J371" s="35"/>
      <c r="N371" s="33"/>
      <c r="O371" s="36"/>
    </row>
    <row r="372" spans="3:15" x14ac:dyDescent="0.25">
      <c r="C372" s="24"/>
      <c r="F372" s="33"/>
      <c r="H372" s="34"/>
      <c r="I372" s="35"/>
      <c r="J372" s="35"/>
      <c r="N372" s="33"/>
      <c r="O372" s="36"/>
    </row>
    <row r="373" spans="3:15" x14ac:dyDescent="0.25">
      <c r="C373" s="24"/>
      <c r="F373" s="33"/>
      <c r="H373" s="34"/>
      <c r="I373" s="35"/>
      <c r="J373" s="35"/>
      <c r="N373" s="33"/>
      <c r="O373" s="36"/>
    </row>
    <row r="374" spans="3:15" x14ac:dyDescent="0.25">
      <c r="C374" s="24"/>
      <c r="F374" s="33"/>
      <c r="H374" s="34"/>
      <c r="I374" s="35"/>
      <c r="J374" s="35"/>
      <c r="N374" s="33"/>
      <c r="O374" s="36"/>
    </row>
    <row r="375" spans="3:15" x14ac:dyDescent="0.25">
      <c r="C375" s="24"/>
      <c r="F375" s="33"/>
      <c r="H375" s="34"/>
      <c r="I375" s="35"/>
      <c r="J375" s="35"/>
      <c r="N375" s="33"/>
      <c r="O375" s="36"/>
    </row>
    <row r="376" spans="3:15" x14ac:dyDescent="0.25">
      <c r="C376" s="24"/>
      <c r="F376" s="33"/>
      <c r="H376" s="34"/>
      <c r="I376" s="35"/>
      <c r="J376" s="35"/>
      <c r="N376" s="33"/>
      <c r="O376" s="36"/>
    </row>
    <row r="377" spans="3:15" x14ac:dyDescent="0.25">
      <c r="C377" s="24"/>
      <c r="F377" s="33"/>
      <c r="H377" s="34"/>
      <c r="I377" s="35"/>
      <c r="J377" s="35"/>
      <c r="N377" s="33"/>
      <c r="O377" s="36"/>
    </row>
    <row r="378" spans="3:15" x14ac:dyDescent="0.25">
      <c r="C378" s="24"/>
      <c r="F378" s="33"/>
      <c r="H378" s="34"/>
      <c r="I378" s="35"/>
      <c r="J378" s="35"/>
      <c r="N378" s="33"/>
      <c r="O378" s="36"/>
    </row>
    <row r="379" spans="3:15" x14ac:dyDescent="0.25">
      <c r="C379" s="24"/>
      <c r="F379" s="33"/>
      <c r="H379" s="34"/>
      <c r="I379" s="35"/>
      <c r="J379" s="35"/>
      <c r="N379" s="33"/>
      <c r="O379" s="36"/>
    </row>
    <row r="380" spans="3:15" x14ac:dyDescent="0.25">
      <c r="C380" s="24"/>
      <c r="F380" s="33"/>
      <c r="H380" s="34"/>
      <c r="I380" s="35"/>
      <c r="J380" s="35"/>
      <c r="N380" s="33"/>
      <c r="O380" s="36"/>
    </row>
    <row r="381" spans="3:15" x14ac:dyDescent="0.25">
      <c r="C381" s="24"/>
      <c r="F381" s="33"/>
      <c r="H381" s="34"/>
      <c r="I381" s="35"/>
      <c r="J381" s="35"/>
      <c r="N381" s="33"/>
      <c r="O381" s="36"/>
    </row>
    <row r="382" spans="3:15" x14ac:dyDescent="0.25">
      <c r="C382" s="24"/>
      <c r="F382" s="33"/>
      <c r="H382" s="34"/>
      <c r="I382" s="35"/>
      <c r="J382" s="35"/>
      <c r="N382" s="33"/>
      <c r="O382" s="36"/>
    </row>
    <row r="383" spans="3:15" x14ac:dyDescent="0.25">
      <c r="C383" s="24"/>
      <c r="F383" s="33"/>
      <c r="H383" s="34"/>
      <c r="I383" s="35"/>
      <c r="J383" s="35"/>
      <c r="N383" s="33"/>
      <c r="O383" s="36"/>
    </row>
    <row r="384" spans="3:15" x14ac:dyDescent="0.25">
      <c r="C384" s="24"/>
      <c r="F384" s="33"/>
      <c r="H384" s="34"/>
      <c r="I384" s="35"/>
      <c r="J384" s="35"/>
      <c r="N384" s="33"/>
      <c r="O384" s="36"/>
    </row>
    <row r="385" spans="3:15" x14ac:dyDescent="0.25">
      <c r="C385" s="24"/>
      <c r="F385" s="33"/>
      <c r="H385" s="34"/>
      <c r="I385" s="35"/>
      <c r="J385" s="35"/>
      <c r="N385" s="33"/>
      <c r="O385" s="36"/>
    </row>
    <row r="386" spans="3:15" x14ac:dyDescent="0.25">
      <c r="C386" s="24"/>
      <c r="F386" s="33"/>
      <c r="H386" s="34"/>
      <c r="I386" s="35"/>
      <c r="J386" s="35"/>
      <c r="N386" s="33"/>
      <c r="O386" s="36"/>
    </row>
    <row r="387" spans="3:15" x14ac:dyDescent="0.25">
      <c r="C387" s="24"/>
      <c r="F387" s="33"/>
      <c r="H387" s="34"/>
      <c r="I387" s="35"/>
      <c r="J387" s="35"/>
      <c r="N387" s="33"/>
      <c r="O387" s="36"/>
    </row>
    <row r="388" spans="3:15" x14ac:dyDescent="0.25">
      <c r="C388" s="24"/>
      <c r="F388" s="33"/>
      <c r="H388" s="34"/>
      <c r="I388" s="35"/>
      <c r="J388" s="35"/>
      <c r="N388" s="33"/>
      <c r="O388" s="36"/>
    </row>
    <row r="389" spans="3:15" x14ac:dyDescent="0.25">
      <c r="C389" s="24"/>
      <c r="F389" s="33"/>
      <c r="H389" s="34"/>
      <c r="I389" s="35"/>
      <c r="J389" s="35"/>
      <c r="N389" s="33"/>
      <c r="O389" s="36"/>
    </row>
    <row r="390" spans="3:15" x14ac:dyDescent="0.25">
      <c r="C390" s="24"/>
      <c r="F390" s="33"/>
      <c r="H390" s="34"/>
      <c r="I390" s="35"/>
      <c r="J390" s="35"/>
      <c r="N390" s="33"/>
      <c r="O390" s="36"/>
    </row>
    <row r="391" spans="3:15" x14ac:dyDescent="0.25">
      <c r="C391" s="24"/>
      <c r="F391" s="33"/>
      <c r="H391" s="34"/>
      <c r="I391" s="35"/>
      <c r="J391" s="35"/>
      <c r="N391" s="33"/>
      <c r="O391" s="36"/>
    </row>
    <row r="392" spans="3:15" x14ac:dyDescent="0.25">
      <c r="C392" s="24"/>
      <c r="F392" s="33"/>
      <c r="H392" s="34"/>
      <c r="I392" s="35"/>
      <c r="J392" s="35"/>
      <c r="N392" s="33"/>
      <c r="O392" s="36"/>
    </row>
    <row r="393" spans="3:15" x14ac:dyDescent="0.25">
      <c r="C393" s="24"/>
      <c r="F393" s="33"/>
      <c r="H393" s="34"/>
      <c r="I393" s="35"/>
      <c r="J393" s="35"/>
      <c r="N393" s="33"/>
      <c r="O393" s="36"/>
    </row>
    <row r="394" spans="3:15" x14ac:dyDescent="0.25">
      <c r="C394" s="24"/>
      <c r="F394" s="33"/>
      <c r="H394" s="34"/>
      <c r="I394" s="35"/>
      <c r="J394" s="35"/>
      <c r="N394" s="33"/>
      <c r="O394" s="36"/>
    </row>
    <row r="395" spans="3:15" x14ac:dyDescent="0.25">
      <c r="C395" s="24"/>
      <c r="F395" s="33"/>
      <c r="H395" s="34"/>
      <c r="I395" s="35"/>
      <c r="J395" s="35"/>
      <c r="N395" s="33"/>
      <c r="O395" s="36"/>
    </row>
    <row r="396" spans="3:15" x14ac:dyDescent="0.25">
      <c r="C396" s="24"/>
      <c r="F396" s="33"/>
      <c r="H396" s="34"/>
      <c r="I396" s="35"/>
      <c r="J396" s="35"/>
      <c r="N396" s="33"/>
      <c r="O396" s="36"/>
    </row>
    <row r="397" spans="3:15" x14ac:dyDescent="0.25">
      <c r="C397" s="24"/>
      <c r="F397" s="33"/>
      <c r="H397" s="34"/>
      <c r="I397" s="35"/>
      <c r="J397" s="35"/>
      <c r="N397" s="33"/>
      <c r="O397" s="36"/>
    </row>
    <row r="398" spans="3:15" x14ac:dyDescent="0.25">
      <c r="C398" s="24"/>
      <c r="F398" s="33"/>
      <c r="H398" s="34"/>
      <c r="I398" s="35"/>
      <c r="J398" s="35"/>
      <c r="N398" s="33"/>
      <c r="O398" s="36"/>
    </row>
    <row r="399" spans="3:15" x14ac:dyDescent="0.25">
      <c r="C399" s="24"/>
      <c r="F399" s="33"/>
      <c r="H399" s="34"/>
      <c r="I399" s="35"/>
      <c r="J399" s="35"/>
      <c r="N399" s="33"/>
      <c r="O399" s="36"/>
    </row>
    <row r="400" spans="3:15" x14ac:dyDescent="0.25">
      <c r="C400" s="24"/>
      <c r="F400" s="33"/>
      <c r="H400" s="34"/>
      <c r="I400" s="35"/>
      <c r="J400" s="35"/>
      <c r="N400" s="33"/>
      <c r="O400" s="36"/>
    </row>
    <row r="401" spans="3:15" x14ac:dyDescent="0.25">
      <c r="C401" s="24"/>
      <c r="F401" s="33"/>
      <c r="H401" s="34"/>
      <c r="I401" s="35"/>
      <c r="J401" s="35"/>
      <c r="N401" s="33"/>
      <c r="O401" s="36"/>
    </row>
    <row r="402" spans="3:15" x14ac:dyDescent="0.25">
      <c r="C402" s="24"/>
      <c r="F402" s="33"/>
      <c r="H402" s="34"/>
      <c r="I402" s="35"/>
      <c r="J402" s="35"/>
      <c r="N402" s="33"/>
      <c r="O402" s="36"/>
    </row>
    <row r="403" spans="3:15" x14ac:dyDescent="0.25">
      <c r="C403" s="24"/>
      <c r="F403" s="33"/>
      <c r="H403" s="34"/>
      <c r="I403" s="35"/>
      <c r="J403" s="35"/>
      <c r="N403" s="33"/>
      <c r="O403" s="36"/>
    </row>
    <row r="404" spans="3:15" x14ac:dyDescent="0.25">
      <c r="C404" s="24"/>
      <c r="F404" s="33"/>
      <c r="H404" s="34"/>
      <c r="I404" s="35"/>
      <c r="J404" s="35"/>
      <c r="N404" s="33"/>
      <c r="O404" s="36"/>
    </row>
    <row r="405" spans="3:15" x14ac:dyDescent="0.25">
      <c r="C405" s="24"/>
      <c r="F405" s="33"/>
      <c r="H405" s="34"/>
      <c r="I405" s="35"/>
      <c r="J405" s="35"/>
      <c r="N405" s="33"/>
      <c r="O405" s="36"/>
    </row>
    <row r="406" spans="3:15" x14ac:dyDescent="0.25">
      <c r="C406" s="24"/>
      <c r="F406" s="33"/>
      <c r="H406" s="34"/>
      <c r="I406" s="35"/>
      <c r="J406" s="35"/>
      <c r="N406" s="33"/>
      <c r="O406" s="36"/>
    </row>
    <row r="407" spans="3:15" x14ac:dyDescent="0.25">
      <c r="C407" s="24"/>
      <c r="F407" s="33"/>
      <c r="H407" s="34"/>
      <c r="I407" s="35"/>
      <c r="J407" s="35"/>
      <c r="N407" s="33"/>
      <c r="O407" s="36"/>
    </row>
    <row r="408" spans="3:15" x14ac:dyDescent="0.25">
      <c r="C408" s="24"/>
      <c r="F408" s="33"/>
      <c r="H408" s="34"/>
      <c r="I408" s="35"/>
      <c r="J408" s="35"/>
      <c r="N408" s="33"/>
      <c r="O408" s="36"/>
    </row>
    <row r="409" spans="3:15" x14ac:dyDescent="0.25">
      <c r="C409" s="24"/>
      <c r="F409" s="33"/>
      <c r="H409" s="34"/>
      <c r="I409" s="35"/>
      <c r="J409" s="35"/>
      <c r="N409" s="33"/>
      <c r="O409" s="36"/>
    </row>
    <row r="410" spans="3:15" x14ac:dyDescent="0.25">
      <c r="C410" s="24"/>
      <c r="F410" s="33"/>
      <c r="H410" s="34"/>
      <c r="I410" s="35"/>
      <c r="J410" s="35"/>
      <c r="N410" s="33"/>
      <c r="O410" s="36"/>
    </row>
    <row r="411" spans="3:15" x14ac:dyDescent="0.25">
      <c r="C411" s="24"/>
      <c r="F411" s="33"/>
      <c r="H411" s="34"/>
      <c r="I411" s="35"/>
      <c r="J411" s="35"/>
      <c r="N411" s="33"/>
      <c r="O411" s="36"/>
    </row>
    <row r="412" spans="3:15" x14ac:dyDescent="0.25">
      <c r="C412" s="24"/>
      <c r="F412" s="33"/>
      <c r="H412" s="34"/>
      <c r="I412" s="35"/>
      <c r="J412" s="35"/>
      <c r="N412" s="33"/>
      <c r="O412" s="36"/>
    </row>
    <row r="413" spans="3:15" x14ac:dyDescent="0.25">
      <c r="C413" s="24"/>
      <c r="F413" s="33"/>
      <c r="H413" s="34"/>
      <c r="I413" s="35"/>
      <c r="J413" s="35"/>
      <c r="N413" s="33"/>
      <c r="O413" s="36"/>
    </row>
    <row r="414" spans="3:15" x14ac:dyDescent="0.25">
      <c r="C414" s="24"/>
      <c r="F414" s="33"/>
      <c r="H414" s="34"/>
      <c r="I414" s="35"/>
      <c r="J414" s="35"/>
      <c r="N414" s="33"/>
      <c r="O414" s="36"/>
    </row>
    <row r="415" spans="3:15" x14ac:dyDescent="0.25">
      <c r="C415" s="24"/>
      <c r="F415" s="33"/>
      <c r="H415" s="34"/>
      <c r="I415" s="35"/>
      <c r="J415" s="35"/>
      <c r="N415" s="33"/>
      <c r="O415" s="36"/>
    </row>
    <row r="416" spans="3:15" x14ac:dyDescent="0.25">
      <c r="C416" s="24"/>
      <c r="F416" s="33"/>
      <c r="H416" s="34"/>
      <c r="I416" s="35"/>
      <c r="J416" s="35"/>
      <c r="N416" s="33"/>
      <c r="O416" s="36"/>
    </row>
    <row r="417" spans="3:15" x14ac:dyDescent="0.25">
      <c r="C417" s="24"/>
      <c r="F417" s="33"/>
      <c r="H417" s="34"/>
      <c r="I417" s="35"/>
      <c r="J417" s="35"/>
      <c r="N417" s="33"/>
      <c r="O417" s="36"/>
    </row>
    <row r="418" spans="3:15" x14ac:dyDescent="0.25">
      <c r="C418" s="24"/>
      <c r="F418" s="33"/>
      <c r="H418" s="34"/>
      <c r="I418" s="35"/>
      <c r="J418" s="35"/>
      <c r="N418" s="33"/>
      <c r="O418" s="36"/>
    </row>
    <row r="419" spans="3:15" x14ac:dyDescent="0.25">
      <c r="C419" s="24"/>
      <c r="F419" s="33"/>
      <c r="H419" s="34"/>
      <c r="I419" s="35"/>
      <c r="J419" s="35"/>
      <c r="N419" s="33"/>
      <c r="O419" s="36"/>
    </row>
    <row r="420" spans="3:15" x14ac:dyDescent="0.25">
      <c r="C420" s="24"/>
      <c r="F420" s="33"/>
      <c r="H420" s="34"/>
      <c r="I420" s="35"/>
      <c r="J420" s="35"/>
      <c r="N420" s="33"/>
      <c r="O420" s="36"/>
    </row>
    <row r="421" spans="3:15" x14ac:dyDescent="0.25">
      <c r="C421" s="24"/>
      <c r="F421" s="33"/>
      <c r="H421" s="34"/>
      <c r="I421" s="35"/>
      <c r="J421" s="35"/>
      <c r="N421" s="33"/>
      <c r="O421" s="36"/>
    </row>
    <row r="422" spans="3:15" x14ac:dyDescent="0.25">
      <c r="C422" s="24"/>
      <c r="F422" s="33"/>
      <c r="H422" s="34"/>
      <c r="I422" s="35"/>
      <c r="J422" s="35"/>
      <c r="N422" s="33"/>
      <c r="O422" s="36"/>
    </row>
    <row r="423" spans="3:15" x14ac:dyDescent="0.25">
      <c r="C423" s="24"/>
      <c r="F423" s="33"/>
      <c r="H423" s="34"/>
      <c r="I423" s="35"/>
      <c r="J423" s="35"/>
      <c r="N423" s="33"/>
      <c r="O423" s="36"/>
    </row>
    <row r="424" spans="3:15" x14ac:dyDescent="0.25">
      <c r="C424" s="24"/>
      <c r="F424" s="33"/>
      <c r="H424" s="34"/>
      <c r="I424" s="35"/>
      <c r="J424" s="35"/>
      <c r="N424" s="33"/>
      <c r="O424" s="36"/>
    </row>
    <row r="425" spans="3:15" x14ac:dyDescent="0.25">
      <c r="C425" s="24"/>
      <c r="F425" s="33"/>
      <c r="H425" s="34"/>
      <c r="I425" s="35"/>
      <c r="J425" s="35"/>
      <c r="N425" s="33"/>
      <c r="O425" s="36"/>
    </row>
    <row r="426" spans="3:15" x14ac:dyDescent="0.25">
      <c r="C426" s="24"/>
      <c r="F426" s="33"/>
      <c r="H426" s="34"/>
      <c r="I426" s="35"/>
      <c r="J426" s="35"/>
      <c r="N426" s="33"/>
      <c r="O426" s="36"/>
    </row>
    <row r="427" spans="3:15" x14ac:dyDescent="0.25">
      <c r="C427" s="24"/>
      <c r="F427" s="33"/>
      <c r="H427" s="34"/>
      <c r="I427" s="35"/>
      <c r="J427" s="35"/>
      <c r="N427" s="33"/>
      <c r="O427" s="36"/>
    </row>
    <row r="428" spans="3:15" x14ac:dyDescent="0.25">
      <c r="C428" s="24"/>
      <c r="F428" s="33"/>
      <c r="H428" s="34"/>
      <c r="I428" s="35"/>
      <c r="J428" s="35"/>
      <c r="N428" s="33"/>
      <c r="O428" s="36"/>
    </row>
    <row r="429" spans="3:15" x14ac:dyDescent="0.25">
      <c r="C429" s="24"/>
      <c r="F429" s="33"/>
      <c r="H429" s="34"/>
      <c r="I429" s="35"/>
      <c r="J429" s="35"/>
      <c r="N429" s="33"/>
      <c r="O429" s="36"/>
    </row>
    <row r="430" spans="3:15" x14ac:dyDescent="0.25">
      <c r="C430" s="24"/>
      <c r="F430" s="33"/>
      <c r="H430" s="34"/>
      <c r="I430" s="35"/>
      <c r="J430" s="35"/>
      <c r="N430" s="33"/>
      <c r="O430" s="36"/>
    </row>
    <row r="431" spans="3:15" x14ac:dyDescent="0.25">
      <c r="C431" s="24"/>
      <c r="F431" s="33"/>
      <c r="H431" s="34"/>
      <c r="I431" s="35"/>
      <c r="J431" s="35"/>
      <c r="N431" s="33"/>
      <c r="O431" s="36"/>
    </row>
    <row r="432" spans="3:15" x14ac:dyDescent="0.25">
      <c r="C432" s="24"/>
      <c r="F432" s="33"/>
      <c r="H432" s="34"/>
      <c r="I432" s="35"/>
      <c r="J432" s="35"/>
      <c r="N432" s="33"/>
      <c r="O432" s="36"/>
    </row>
    <row r="433" spans="3:15" x14ac:dyDescent="0.25">
      <c r="C433" s="24"/>
      <c r="F433" s="33"/>
      <c r="H433" s="34"/>
      <c r="I433" s="35"/>
      <c r="J433" s="35"/>
      <c r="N433" s="33"/>
      <c r="O433" s="36"/>
    </row>
    <row r="434" spans="3:15" x14ac:dyDescent="0.25">
      <c r="C434" s="24"/>
      <c r="F434" s="33"/>
      <c r="H434" s="34"/>
      <c r="I434" s="35"/>
      <c r="J434" s="35"/>
      <c r="N434" s="33"/>
      <c r="O434" s="36"/>
    </row>
    <row r="435" spans="3:15" x14ac:dyDescent="0.25">
      <c r="C435" s="24"/>
      <c r="F435" s="33"/>
      <c r="H435" s="34"/>
      <c r="I435" s="35"/>
      <c r="J435" s="35"/>
      <c r="N435" s="33"/>
      <c r="O435" s="36"/>
    </row>
    <row r="436" spans="3:15" x14ac:dyDescent="0.25">
      <c r="C436" s="24"/>
      <c r="F436" s="33"/>
      <c r="H436" s="34"/>
      <c r="I436" s="35"/>
      <c r="J436" s="35"/>
      <c r="N436" s="33"/>
      <c r="O436" s="36"/>
    </row>
    <row r="437" spans="3:15" x14ac:dyDescent="0.25">
      <c r="C437" s="24"/>
      <c r="F437" s="33"/>
      <c r="H437" s="34"/>
      <c r="I437" s="35"/>
      <c r="J437" s="35"/>
      <c r="N437" s="33"/>
      <c r="O437" s="36"/>
    </row>
    <row r="438" spans="3:15" x14ac:dyDescent="0.25">
      <c r="C438" s="24"/>
      <c r="F438" s="33"/>
      <c r="H438" s="34"/>
      <c r="I438" s="35"/>
      <c r="J438" s="35"/>
      <c r="N438" s="33"/>
      <c r="O438" s="36"/>
    </row>
    <row r="439" spans="3:15" x14ac:dyDescent="0.25">
      <c r="C439" s="24"/>
      <c r="F439" s="33"/>
      <c r="H439" s="34"/>
      <c r="I439" s="35"/>
      <c r="J439" s="35"/>
      <c r="N439" s="33"/>
      <c r="O439" s="36"/>
    </row>
    <row r="440" spans="3:15" x14ac:dyDescent="0.25">
      <c r="C440" s="24"/>
      <c r="F440" s="33"/>
      <c r="H440" s="34"/>
      <c r="I440" s="35"/>
      <c r="J440" s="35"/>
      <c r="N440" s="33"/>
      <c r="O440" s="36"/>
    </row>
    <row r="441" spans="3:15" x14ac:dyDescent="0.25">
      <c r="C441" s="24"/>
      <c r="F441" s="33"/>
      <c r="H441" s="34"/>
      <c r="I441" s="35"/>
      <c r="J441" s="35"/>
      <c r="N441" s="33"/>
      <c r="O441" s="36"/>
    </row>
    <row r="442" spans="3:15" x14ac:dyDescent="0.25">
      <c r="C442" s="24"/>
      <c r="F442" s="33"/>
      <c r="H442" s="34"/>
      <c r="I442" s="35"/>
      <c r="J442" s="35"/>
      <c r="N442" s="33"/>
      <c r="O442" s="36"/>
    </row>
    <row r="443" spans="3:15" x14ac:dyDescent="0.25">
      <c r="C443" s="24"/>
      <c r="F443" s="33"/>
      <c r="H443" s="34"/>
      <c r="I443" s="35"/>
      <c r="J443" s="35"/>
      <c r="N443" s="33"/>
      <c r="O443" s="36"/>
    </row>
    <row r="444" spans="3:15" x14ac:dyDescent="0.25">
      <c r="C444" s="24"/>
      <c r="F444" s="33"/>
      <c r="H444" s="34"/>
      <c r="I444" s="35"/>
      <c r="J444" s="35"/>
      <c r="N444" s="33"/>
      <c r="O444" s="36"/>
    </row>
    <row r="445" spans="3:15" x14ac:dyDescent="0.25">
      <c r="C445" s="24"/>
      <c r="F445" s="33"/>
      <c r="H445" s="34"/>
      <c r="I445" s="35"/>
      <c r="J445" s="35"/>
      <c r="N445" s="33"/>
      <c r="O445" s="36"/>
    </row>
    <row r="446" spans="3:15" x14ac:dyDescent="0.25">
      <c r="C446" s="24"/>
      <c r="F446" s="33"/>
      <c r="H446" s="34"/>
      <c r="I446" s="35"/>
      <c r="J446" s="35"/>
      <c r="N446" s="33"/>
      <c r="O446" s="36"/>
    </row>
    <row r="447" spans="3:15" x14ac:dyDescent="0.25">
      <c r="C447" s="24"/>
      <c r="F447" s="33"/>
      <c r="H447" s="34"/>
      <c r="I447" s="35"/>
      <c r="J447" s="35"/>
      <c r="N447" s="33"/>
      <c r="O447" s="36"/>
    </row>
    <row r="448" spans="3:15" x14ac:dyDescent="0.25">
      <c r="C448" s="24"/>
      <c r="F448" s="33"/>
      <c r="H448" s="34"/>
      <c r="I448" s="35"/>
      <c r="J448" s="35"/>
      <c r="N448" s="33"/>
      <c r="O448" s="36"/>
    </row>
    <row r="449" spans="3:15" x14ac:dyDescent="0.25">
      <c r="C449" s="24"/>
      <c r="F449" s="33"/>
      <c r="H449" s="34"/>
      <c r="I449" s="35"/>
      <c r="J449" s="35"/>
      <c r="N449" s="33"/>
      <c r="O449" s="36"/>
    </row>
    <row r="450" spans="3:15" x14ac:dyDescent="0.25">
      <c r="C450" s="24"/>
      <c r="F450" s="33"/>
      <c r="H450" s="34"/>
      <c r="I450" s="35"/>
      <c r="J450" s="35"/>
      <c r="N450" s="33"/>
      <c r="O450" s="36"/>
    </row>
    <row r="451" spans="3:15" x14ac:dyDescent="0.25">
      <c r="C451" s="24"/>
      <c r="F451" s="33"/>
      <c r="H451" s="34"/>
      <c r="I451" s="35"/>
      <c r="J451" s="35"/>
      <c r="N451" s="33"/>
      <c r="O451" s="36"/>
    </row>
    <row r="452" spans="3:15" x14ac:dyDescent="0.25">
      <c r="C452" s="24"/>
      <c r="F452" s="33"/>
      <c r="H452" s="34"/>
      <c r="I452" s="35"/>
      <c r="J452" s="35"/>
      <c r="N452" s="33"/>
      <c r="O452" s="36"/>
    </row>
    <row r="453" spans="3:15" x14ac:dyDescent="0.25">
      <c r="C453" s="24"/>
      <c r="F453" s="33"/>
      <c r="H453" s="34"/>
      <c r="I453" s="35"/>
      <c r="J453" s="35"/>
      <c r="N453" s="33"/>
      <c r="O453" s="36"/>
    </row>
    <row r="454" spans="3:15" x14ac:dyDescent="0.25">
      <c r="C454" s="24"/>
      <c r="F454" s="33"/>
      <c r="H454" s="34"/>
      <c r="I454" s="35"/>
      <c r="J454" s="35"/>
      <c r="N454" s="33"/>
      <c r="O454" s="36"/>
    </row>
    <row r="455" spans="3:15" x14ac:dyDescent="0.25">
      <c r="C455" s="24"/>
      <c r="F455" s="33"/>
      <c r="H455" s="34"/>
      <c r="I455" s="35"/>
      <c r="J455" s="35"/>
      <c r="N455" s="33"/>
      <c r="O455" s="36"/>
    </row>
    <row r="456" spans="3:15" x14ac:dyDescent="0.25">
      <c r="C456" s="24"/>
      <c r="F456" s="33"/>
      <c r="H456" s="34"/>
      <c r="I456" s="35"/>
      <c r="J456" s="35"/>
      <c r="N456" s="33"/>
      <c r="O456" s="36"/>
    </row>
    <row r="457" spans="3:15" x14ac:dyDescent="0.25">
      <c r="C457" s="24"/>
      <c r="F457" s="33"/>
      <c r="H457" s="34"/>
      <c r="I457" s="35"/>
      <c r="J457" s="35"/>
      <c r="N457" s="33"/>
      <c r="O457" s="36"/>
    </row>
    <row r="458" spans="3:15" x14ac:dyDescent="0.25">
      <c r="C458" s="24"/>
      <c r="F458" s="33"/>
      <c r="H458" s="34"/>
      <c r="I458" s="35"/>
      <c r="J458" s="35"/>
      <c r="N458" s="33"/>
      <c r="O458" s="36"/>
    </row>
    <row r="459" spans="3:15" x14ac:dyDescent="0.25">
      <c r="C459" s="24"/>
      <c r="F459" s="33"/>
      <c r="H459" s="34"/>
      <c r="I459" s="35"/>
      <c r="J459" s="35"/>
      <c r="N459" s="33"/>
      <c r="O459" s="36"/>
    </row>
    <row r="460" spans="3:15" x14ac:dyDescent="0.25">
      <c r="C460" s="24"/>
      <c r="F460" s="33"/>
      <c r="H460" s="34"/>
      <c r="I460" s="35"/>
      <c r="J460" s="35"/>
      <c r="N460" s="33"/>
      <c r="O460" s="36"/>
    </row>
    <row r="461" spans="3:15" x14ac:dyDescent="0.25">
      <c r="C461" s="24"/>
      <c r="F461" s="33"/>
      <c r="H461" s="34"/>
      <c r="I461" s="35"/>
      <c r="J461" s="35"/>
      <c r="N461" s="33"/>
      <c r="O461" s="36"/>
    </row>
    <row r="462" spans="3:15" x14ac:dyDescent="0.25">
      <c r="C462" s="24"/>
      <c r="F462" s="33"/>
      <c r="H462" s="34"/>
      <c r="I462" s="35"/>
      <c r="J462" s="35"/>
      <c r="N462" s="33"/>
      <c r="O462" s="36"/>
    </row>
    <row r="463" spans="3:15" x14ac:dyDescent="0.25">
      <c r="C463" s="24"/>
      <c r="F463" s="33"/>
      <c r="H463" s="34"/>
      <c r="I463" s="35"/>
      <c r="J463" s="35"/>
      <c r="N463" s="33"/>
      <c r="O463" s="36"/>
    </row>
    <row r="464" spans="3:15" x14ac:dyDescent="0.25">
      <c r="C464" s="24"/>
      <c r="F464" s="33"/>
      <c r="H464" s="34"/>
      <c r="I464" s="35"/>
      <c r="J464" s="35"/>
      <c r="N464" s="33"/>
      <c r="O464" s="36"/>
    </row>
    <row r="465" spans="3:15" x14ac:dyDescent="0.25">
      <c r="C465" s="24"/>
      <c r="F465" s="33"/>
      <c r="H465" s="34"/>
      <c r="I465" s="35"/>
      <c r="J465" s="35"/>
      <c r="N465" s="33"/>
      <c r="O465" s="36"/>
    </row>
    <row r="466" spans="3:15" x14ac:dyDescent="0.25">
      <c r="C466" s="24"/>
      <c r="F466" s="33"/>
      <c r="H466" s="34"/>
      <c r="I466" s="35"/>
      <c r="J466" s="35"/>
      <c r="N466" s="33"/>
      <c r="O466" s="36"/>
    </row>
    <row r="467" spans="3:15" x14ac:dyDescent="0.25">
      <c r="C467" s="24"/>
      <c r="F467" s="33"/>
      <c r="H467" s="34"/>
      <c r="I467" s="35"/>
      <c r="J467" s="35"/>
      <c r="N467" s="33"/>
      <c r="O467" s="36"/>
    </row>
    <row r="468" spans="3:15" x14ac:dyDescent="0.25">
      <c r="C468" s="24"/>
      <c r="F468" s="33"/>
      <c r="H468" s="34"/>
      <c r="I468" s="35"/>
      <c r="J468" s="35"/>
      <c r="N468" s="33"/>
      <c r="O468" s="36"/>
    </row>
    <row r="469" spans="3:15" x14ac:dyDescent="0.25">
      <c r="C469" s="24"/>
      <c r="F469" s="33"/>
      <c r="H469" s="34"/>
      <c r="I469" s="35"/>
      <c r="J469" s="35"/>
      <c r="N469" s="33"/>
      <c r="O469" s="36"/>
    </row>
    <row r="470" spans="3:15" x14ac:dyDescent="0.25">
      <c r="C470" s="24"/>
      <c r="F470" s="33"/>
      <c r="H470" s="34"/>
      <c r="I470" s="35"/>
      <c r="J470" s="35"/>
      <c r="N470" s="33"/>
      <c r="O470" s="36"/>
    </row>
    <row r="471" spans="3:15" x14ac:dyDescent="0.25">
      <c r="C471" s="24"/>
      <c r="F471" s="33"/>
      <c r="H471" s="34"/>
      <c r="I471" s="35"/>
      <c r="J471" s="35"/>
      <c r="N471" s="33"/>
      <c r="O471" s="36"/>
    </row>
    <row r="472" spans="3:15" x14ac:dyDescent="0.25">
      <c r="C472" s="24"/>
      <c r="F472" s="33"/>
      <c r="H472" s="34"/>
      <c r="I472" s="35"/>
      <c r="J472" s="35"/>
      <c r="N472" s="33"/>
      <c r="O472" s="36"/>
    </row>
    <row r="473" spans="3:15" x14ac:dyDescent="0.25">
      <c r="C473" s="24"/>
      <c r="F473" s="33"/>
      <c r="H473" s="34"/>
      <c r="I473" s="35"/>
      <c r="J473" s="35"/>
      <c r="N473" s="33"/>
      <c r="O473" s="36"/>
    </row>
    <row r="474" spans="3:15" x14ac:dyDescent="0.25">
      <c r="C474" s="24"/>
      <c r="F474" s="33"/>
      <c r="H474" s="34"/>
      <c r="I474" s="35"/>
      <c r="J474" s="35"/>
      <c r="N474" s="33"/>
      <c r="O474" s="36"/>
    </row>
    <row r="475" spans="3:15" x14ac:dyDescent="0.25">
      <c r="C475" s="24"/>
      <c r="F475" s="33"/>
      <c r="H475" s="34"/>
      <c r="I475" s="35"/>
      <c r="J475" s="35"/>
      <c r="N475" s="33"/>
      <c r="O475" s="36"/>
    </row>
    <row r="476" spans="3:15" x14ac:dyDescent="0.25">
      <c r="C476" s="24"/>
      <c r="F476" s="33"/>
      <c r="H476" s="34"/>
      <c r="I476" s="35"/>
      <c r="J476" s="35"/>
      <c r="N476" s="33"/>
      <c r="O476" s="36"/>
    </row>
    <row r="477" spans="3:15" x14ac:dyDescent="0.25">
      <c r="C477" s="24"/>
      <c r="F477" s="33"/>
      <c r="H477" s="34"/>
      <c r="I477" s="35"/>
      <c r="J477" s="35"/>
      <c r="N477" s="33"/>
      <c r="O477" s="36"/>
    </row>
    <row r="478" spans="3:15" x14ac:dyDescent="0.25">
      <c r="C478" s="24"/>
      <c r="F478" s="33"/>
      <c r="H478" s="34"/>
      <c r="I478" s="35"/>
      <c r="J478" s="35"/>
      <c r="N478" s="33"/>
      <c r="O478" s="36"/>
    </row>
    <row r="479" spans="3:15" x14ac:dyDescent="0.25">
      <c r="C479" s="24"/>
      <c r="F479" s="33"/>
      <c r="H479" s="34"/>
      <c r="I479" s="35"/>
      <c r="J479" s="35"/>
      <c r="N479" s="33"/>
      <c r="O479" s="36"/>
    </row>
    <row r="480" spans="3:15" x14ac:dyDescent="0.25">
      <c r="C480" s="24"/>
      <c r="F480" s="33"/>
      <c r="H480" s="34"/>
      <c r="I480" s="35"/>
      <c r="J480" s="35"/>
      <c r="N480" s="33"/>
      <c r="O480" s="36"/>
    </row>
    <row r="481" spans="3:15" x14ac:dyDescent="0.25">
      <c r="C481" s="24"/>
      <c r="F481" s="33"/>
      <c r="H481" s="34"/>
      <c r="I481" s="35"/>
      <c r="J481" s="35"/>
      <c r="N481" s="33"/>
      <c r="O481" s="36"/>
    </row>
    <row r="482" spans="3:15" x14ac:dyDescent="0.25">
      <c r="C482" s="24"/>
      <c r="F482" s="33"/>
      <c r="H482" s="34"/>
      <c r="I482" s="35"/>
      <c r="J482" s="35"/>
      <c r="N482" s="33"/>
      <c r="O482" s="36"/>
    </row>
    <row r="483" spans="3:15" x14ac:dyDescent="0.25">
      <c r="C483" s="24"/>
      <c r="F483" s="33"/>
      <c r="H483" s="34"/>
      <c r="I483" s="35"/>
      <c r="J483" s="35"/>
      <c r="N483" s="33"/>
      <c r="O483" s="36"/>
    </row>
    <row r="484" spans="3:15" x14ac:dyDescent="0.25">
      <c r="C484" s="24"/>
      <c r="F484" s="33"/>
      <c r="H484" s="34"/>
      <c r="I484" s="35"/>
      <c r="J484" s="35"/>
      <c r="N484" s="33"/>
      <c r="O484" s="36"/>
    </row>
    <row r="485" spans="3:15" x14ac:dyDescent="0.25">
      <c r="C485" s="24"/>
      <c r="F485" s="33"/>
      <c r="H485" s="34"/>
      <c r="I485" s="35"/>
      <c r="J485" s="35"/>
      <c r="N485" s="33"/>
      <c r="O485" s="36"/>
    </row>
    <row r="486" spans="3:15" x14ac:dyDescent="0.25">
      <c r="C486" s="24"/>
      <c r="F486" s="33"/>
      <c r="H486" s="34"/>
      <c r="I486" s="35"/>
      <c r="J486" s="35"/>
      <c r="N486" s="33"/>
      <c r="O486" s="36"/>
    </row>
    <row r="487" spans="3:15" x14ac:dyDescent="0.25">
      <c r="C487" s="24"/>
      <c r="F487" s="33"/>
      <c r="H487" s="34"/>
      <c r="I487" s="35"/>
      <c r="J487" s="35"/>
      <c r="N487" s="33"/>
      <c r="O487" s="36"/>
    </row>
    <row r="488" spans="3:15" x14ac:dyDescent="0.25">
      <c r="C488" s="24"/>
      <c r="F488" s="33"/>
      <c r="H488" s="34"/>
      <c r="I488" s="35"/>
      <c r="J488" s="35"/>
      <c r="N488" s="33"/>
      <c r="O488" s="36"/>
    </row>
    <row r="489" spans="3:15" x14ac:dyDescent="0.25">
      <c r="C489" s="24"/>
      <c r="F489" s="33"/>
      <c r="H489" s="34"/>
      <c r="I489" s="35"/>
      <c r="J489" s="35"/>
      <c r="N489" s="33"/>
      <c r="O489" s="36"/>
    </row>
    <row r="490" spans="3:15" x14ac:dyDescent="0.25">
      <c r="C490" s="24"/>
      <c r="F490" s="33"/>
      <c r="H490" s="34"/>
      <c r="I490" s="35"/>
      <c r="J490" s="35"/>
      <c r="N490" s="33"/>
      <c r="O490" s="36"/>
    </row>
    <row r="491" spans="3:15" x14ac:dyDescent="0.25">
      <c r="C491" s="24"/>
      <c r="F491" s="33"/>
      <c r="H491" s="34"/>
      <c r="I491" s="35"/>
      <c r="J491" s="35"/>
      <c r="N491" s="33"/>
      <c r="O491" s="36"/>
    </row>
    <row r="492" spans="3:15" x14ac:dyDescent="0.25">
      <c r="C492" s="24"/>
      <c r="F492" s="33"/>
      <c r="H492" s="34"/>
      <c r="I492" s="35"/>
      <c r="J492" s="35"/>
      <c r="N492" s="33"/>
      <c r="O492" s="36"/>
    </row>
    <row r="493" spans="3:15" x14ac:dyDescent="0.25">
      <c r="C493" s="24"/>
      <c r="F493" s="33"/>
      <c r="H493" s="34"/>
      <c r="I493" s="35"/>
      <c r="J493" s="35"/>
      <c r="N493" s="33"/>
      <c r="O493" s="36"/>
    </row>
    <row r="494" spans="3:15" x14ac:dyDescent="0.25">
      <c r="C494" s="24"/>
      <c r="F494" s="33"/>
      <c r="H494" s="34"/>
      <c r="I494" s="35"/>
      <c r="J494" s="35"/>
      <c r="N494" s="33"/>
      <c r="O494" s="36"/>
    </row>
    <row r="495" spans="3:15" x14ac:dyDescent="0.25">
      <c r="C495" s="24"/>
      <c r="F495" s="33"/>
      <c r="H495" s="34"/>
      <c r="I495" s="35"/>
      <c r="J495" s="35"/>
      <c r="N495" s="33"/>
      <c r="O495" s="36"/>
    </row>
    <row r="496" spans="3:15" x14ac:dyDescent="0.25">
      <c r="C496" s="24"/>
      <c r="F496" s="33"/>
      <c r="H496" s="34"/>
      <c r="I496" s="35"/>
      <c r="J496" s="35"/>
      <c r="N496" s="33"/>
      <c r="O496" s="36"/>
    </row>
    <row r="497" spans="3:15" x14ac:dyDescent="0.25">
      <c r="C497" s="24"/>
      <c r="F497" s="33"/>
      <c r="H497" s="34"/>
      <c r="I497" s="35"/>
      <c r="J497" s="35"/>
      <c r="N497" s="33"/>
      <c r="O497" s="36"/>
    </row>
    <row r="498" spans="3:15" x14ac:dyDescent="0.25">
      <c r="C498" s="24"/>
      <c r="F498" s="33"/>
      <c r="H498" s="34"/>
      <c r="I498" s="35"/>
      <c r="J498" s="35"/>
      <c r="N498" s="33"/>
      <c r="O498" s="36"/>
    </row>
    <row r="499" spans="3:15" x14ac:dyDescent="0.25">
      <c r="C499" s="24"/>
      <c r="F499" s="33"/>
      <c r="H499" s="34"/>
      <c r="I499" s="35"/>
      <c r="J499" s="35"/>
      <c r="N499" s="33"/>
      <c r="O499" s="36"/>
    </row>
    <row r="500" spans="3:15" x14ac:dyDescent="0.25">
      <c r="C500" s="24"/>
      <c r="F500" s="33"/>
      <c r="H500" s="34"/>
      <c r="I500" s="35"/>
      <c r="J500" s="35"/>
      <c r="N500" s="33"/>
      <c r="O500" s="36"/>
    </row>
    <row r="501" spans="3:15" x14ac:dyDescent="0.25">
      <c r="C501" s="24"/>
      <c r="F501" s="33"/>
      <c r="H501" s="34"/>
      <c r="I501" s="35"/>
      <c r="J501" s="35"/>
      <c r="N501" s="33"/>
      <c r="O501" s="36"/>
    </row>
    <row r="502" spans="3:15" x14ac:dyDescent="0.25">
      <c r="C502" s="24"/>
      <c r="F502" s="33"/>
      <c r="H502" s="34"/>
      <c r="I502" s="35"/>
      <c r="J502" s="35"/>
      <c r="N502" s="33"/>
      <c r="O502" s="36"/>
    </row>
    <row r="503" spans="3:15" x14ac:dyDescent="0.25">
      <c r="C503" s="24"/>
      <c r="F503" s="33"/>
      <c r="H503" s="34"/>
      <c r="I503" s="35"/>
      <c r="J503" s="35"/>
      <c r="N503" s="33"/>
      <c r="O503" s="36"/>
    </row>
    <row r="504" spans="3:15" x14ac:dyDescent="0.25">
      <c r="C504" s="24"/>
      <c r="F504" s="33"/>
      <c r="H504" s="34"/>
      <c r="I504" s="35"/>
      <c r="J504" s="35"/>
      <c r="N504" s="33"/>
      <c r="O504" s="36"/>
    </row>
    <row r="505" spans="3:15" x14ac:dyDescent="0.25">
      <c r="C505" s="24"/>
      <c r="F505" s="33"/>
      <c r="H505" s="34"/>
      <c r="I505" s="35"/>
      <c r="J505" s="35"/>
      <c r="N505" s="33"/>
      <c r="O505" s="36"/>
    </row>
    <row r="506" spans="3:15" x14ac:dyDescent="0.25">
      <c r="C506" s="24"/>
      <c r="F506" s="33"/>
      <c r="H506" s="34"/>
      <c r="I506" s="35"/>
      <c r="J506" s="35"/>
      <c r="N506" s="33"/>
      <c r="O506" s="36"/>
    </row>
    <row r="507" spans="3:15" x14ac:dyDescent="0.25">
      <c r="C507" s="24"/>
      <c r="F507" s="33"/>
      <c r="H507" s="34"/>
      <c r="I507" s="35"/>
      <c r="J507" s="35"/>
      <c r="N507" s="33"/>
      <c r="O507" s="36"/>
    </row>
    <row r="508" spans="3:15" x14ac:dyDescent="0.25">
      <c r="C508" s="24"/>
      <c r="F508" s="33"/>
      <c r="H508" s="34"/>
      <c r="I508" s="35"/>
      <c r="J508" s="35"/>
      <c r="N508" s="33"/>
      <c r="O508" s="36"/>
    </row>
    <row r="509" spans="3:15" x14ac:dyDescent="0.25">
      <c r="C509" s="24"/>
      <c r="F509" s="33"/>
      <c r="H509" s="34"/>
      <c r="I509" s="35"/>
      <c r="J509" s="35"/>
      <c r="N509" s="33"/>
      <c r="O509" s="36"/>
    </row>
    <row r="510" spans="3:15" x14ac:dyDescent="0.25">
      <c r="C510" s="24"/>
      <c r="F510" s="33"/>
      <c r="H510" s="34"/>
      <c r="I510" s="35"/>
      <c r="J510" s="35"/>
      <c r="N510" s="33"/>
      <c r="O510" s="36"/>
    </row>
    <row r="511" spans="3:15" x14ac:dyDescent="0.25">
      <c r="C511" s="24"/>
      <c r="F511" s="33"/>
      <c r="H511" s="34"/>
      <c r="I511" s="35"/>
      <c r="J511" s="35"/>
      <c r="N511" s="33"/>
      <c r="O511" s="36"/>
    </row>
    <row r="512" spans="3:15" x14ac:dyDescent="0.25">
      <c r="C512" s="24"/>
      <c r="F512" s="33"/>
      <c r="H512" s="34"/>
      <c r="I512" s="35"/>
      <c r="J512" s="35"/>
      <c r="N512" s="33"/>
      <c r="O512" s="36"/>
    </row>
    <row r="513" spans="3:15" x14ac:dyDescent="0.25">
      <c r="C513" s="24"/>
      <c r="F513" s="33"/>
      <c r="H513" s="34"/>
      <c r="I513" s="35"/>
      <c r="J513" s="35"/>
      <c r="N513" s="33"/>
      <c r="O513" s="36"/>
    </row>
    <row r="514" spans="3:15" x14ac:dyDescent="0.25">
      <c r="C514" s="24"/>
      <c r="F514" s="33"/>
      <c r="H514" s="34"/>
      <c r="I514" s="35"/>
      <c r="J514" s="35"/>
      <c r="N514" s="33"/>
      <c r="O514" s="36"/>
    </row>
    <row r="515" spans="3:15" x14ac:dyDescent="0.25">
      <c r="C515" s="24"/>
      <c r="F515" s="33"/>
      <c r="H515" s="34"/>
      <c r="I515" s="35"/>
      <c r="J515" s="35"/>
      <c r="N515" s="33"/>
      <c r="O515" s="36"/>
    </row>
    <row r="516" spans="3:15" x14ac:dyDescent="0.25">
      <c r="C516" s="24"/>
      <c r="F516" s="33"/>
      <c r="H516" s="34"/>
      <c r="I516" s="35"/>
      <c r="J516" s="35"/>
      <c r="N516" s="33"/>
      <c r="O516" s="36"/>
    </row>
    <row r="517" spans="3:15" x14ac:dyDescent="0.25">
      <c r="C517" s="24"/>
      <c r="F517" s="33"/>
      <c r="H517" s="34"/>
      <c r="I517" s="35"/>
      <c r="J517" s="35"/>
      <c r="N517" s="33"/>
      <c r="O517" s="36"/>
    </row>
    <row r="518" spans="3:15" x14ac:dyDescent="0.25">
      <c r="C518" s="24"/>
      <c r="F518" s="33"/>
      <c r="H518" s="34"/>
      <c r="I518" s="35"/>
      <c r="J518" s="35"/>
      <c r="N518" s="33"/>
      <c r="O518" s="36"/>
    </row>
    <row r="519" spans="3:15" x14ac:dyDescent="0.25">
      <c r="C519" s="24"/>
      <c r="F519" s="33"/>
      <c r="H519" s="34"/>
      <c r="I519" s="35"/>
      <c r="J519" s="35"/>
      <c r="N519" s="33"/>
      <c r="O519" s="36"/>
    </row>
    <row r="520" spans="3:15" x14ac:dyDescent="0.25">
      <c r="C520" s="24"/>
      <c r="F520" s="33"/>
      <c r="H520" s="34"/>
      <c r="I520" s="35"/>
      <c r="J520" s="35"/>
      <c r="N520" s="33"/>
      <c r="O520" s="36"/>
    </row>
    <row r="521" spans="3:15" x14ac:dyDescent="0.25">
      <c r="C521" s="24"/>
      <c r="F521" s="33"/>
      <c r="H521" s="34"/>
      <c r="I521" s="35"/>
      <c r="J521" s="35"/>
      <c r="N521" s="33"/>
      <c r="O521" s="36"/>
    </row>
    <row r="522" spans="3:15" x14ac:dyDescent="0.25">
      <c r="C522" s="24"/>
      <c r="F522" s="33"/>
      <c r="H522" s="34"/>
      <c r="I522" s="35"/>
      <c r="J522" s="35"/>
      <c r="N522" s="33"/>
      <c r="O522" s="36"/>
    </row>
    <row r="523" spans="3:15" x14ac:dyDescent="0.25">
      <c r="C523" s="24"/>
      <c r="F523" s="33"/>
      <c r="H523" s="34"/>
      <c r="I523" s="35"/>
      <c r="J523" s="35"/>
      <c r="N523" s="33"/>
      <c r="O523" s="36"/>
    </row>
    <row r="524" spans="3:15" x14ac:dyDescent="0.25">
      <c r="C524" s="24"/>
      <c r="F524" s="33"/>
      <c r="H524" s="34"/>
      <c r="I524" s="35"/>
      <c r="J524" s="35"/>
      <c r="N524" s="33"/>
      <c r="O524" s="36"/>
    </row>
    <row r="525" spans="3:15" x14ac:dyDescent="0.25">
      <c r="C525" s="24"/>
      <c r="F525" s="33"/>
      <c r="H525" s="34"/>
      <c r="I525" s="35"/>
      <c r="J525" s="35"/>
      <c r="N525" s="33"/>
      <c r="O525" s="36"/>
    </row>
    <row r="526" spans="3:15" x14ac:dyDescent="0.25">
      <c r="C526" s="24"/>
      <c r="F526" s="33"/>
      <c r="H526" s="34"/>
      <c r="I526" s="35"/>
      <c r="J526" s="35"/>
      <c r="N526" s="33"/>
      <c r="O526" s="36"/>
    </row>
    <row r="527" spans="3:15" x14ac:dyDescent="0.25">
      <c r="C527" s="24"/>
      <c r="F527" s="33"/>
      <c r="H527" s="34"/>
      <c r="I527" s="35"/>
      <c r="J527" s="35"/>
      <c r="N527" s="33"/>
      <c r="O527" s="36"/>
    </row>
    <row r="528" spans="3:15" x14ac:dyDescent="0.25">
      <c r="C528" s="24"/>
      <c r="F528" s="33"/>
      <c r="H528" s="34"/>
      <c r="I528" s="35"/>
      <c r="J528" s="35"/>
      <c r="N528" s="33"/>
      <c r="O528" s="36"/>
    </row>
    <row r="529" spans="3:15" x14ac:dyDescent="0.25">
      <c r="C529" s="24"/>
      <c r="F529" s="33"/>
      <c r="H529" s="34"/>
      <c r="I529" s="35"/>
      <c r="J529" s="35"/>
      <c r="N529" s="33"/>
      <c r="O529" s="36"/>
    </row>
    <row r="530" spans="3:15" x14ac:dyDescent="0.25">
      <c r="C530" s="24"/>
      <c r="F530" s="33"/>
      <c r="H530" s="34"/>
      <c r="I530" s="35"/>
      <c r="J530" s="35"/>
      <c r="N530" s="33"/>
      <c r="O530" s="36"/>
    </row>
    <row r="531" spans="3:15" x14ac:dyDescent="0.25">
      <c r="C531" s="24"/>
      <c r="F531" s="33"/>
      <c r="H531" s="34"/>
      <c r="I531" s="35"/>
      <c r="J531" s="35"/>
      <c r="N531" s="33"/>
      <c r="O531" s="36"/>
    </row>
    <row r="532" spans="3:15" x14ac:dyDescent="0.25">
      <c r="C532" s="24"/>
      <c r="F532" s="33"/>
      <c r="H532" s="34"/>
      <c r="I532" s="35"/>
      <c r="J532" s="35"/>
      <c r="N532" s="33"/>
      <c r="O532" s="36"/>
    </row>
    <row r="533" spans="3:15" x14ac:dyDescent="0.25">
      <c r="C533" s="24"/>
      <c r="F533" s="33"/>
      <c r="H533" s="34"/>
      <c r="I533" s="35"/>
      <c r="J533" s="35"/>
      <c r="N533" s="33"/>
      <c r="O533" s="36"/>
    </row>
    <row r="534" spans="3:15" x14ac:dyDescent="0.25">
      <c r="C534" s="24"/>
      <c r="F534" s="33"/>
      <c r="H534" s="34"/>
      <c r="I534" s="35"/>
      <c r="J534" s="35"/>
      <c r="N534" s="33"/>
      <c r="O534" s="36"/>
    </row>
    <row r="535" spans="3:15" x14ac:dyDescent="0.25">
      <c r="C535" s="24"/>
      <c r="F535" s="33"/>
      <c r="H535" s="34"/>
      <c r="I535" s="35"/>
      <c r="J535" s="35"/>
      <c r="N535" s="33"/>
      <c r="O535" s="36"/>
    </row>
    <row r="536" spans="3:15" x14ac:dyDescent="0.25">
      <c r="C536" s="24"/>
      <c r="F536" s="33"/>
      <c r="H536" s="34"/>
      <c r="I536" s="35"/>
      <c r="J536" s="35"/>
      <c r="N536" s="33"/>
      <c r="O536" s="36"/>
    </row>
    <row r="537" spans="3:15" x14ac:dyDescent="0.25">
      <c r="C537" s="24"/>
      <c r="F537" s="33"/>
      <c r="H537" s="34"/>
      <c r="I537" s="35"/>
      <c r="J537" s="35"/>
      <c r="N537" s="33"/>
      <c r="O537" s="36"/>
    </row>
    <row r="538" spans="3:15" x14ac:dyDescent="0.25">
      <c r="C538" s="24"/>
      <c r="F538" s="33"/>
      <c r="H538" s="34"/>
      <c r="I538" s="35"/>
      <c r="J538" s="35"/>
      <c r="N538" s="33"/>
      <c r="O538" s="36"/>
    </row>
    <row r="539" spans="3:15" x14ac:dyDescent="0.25">
      <c r="C539" s="24"/>
      <c r="F539" s="33"/>
      <c r="H539" s="34"/>
      <c r="I539" s="35"/>
      <c r="J539" s="35"/>
      <c r="N539" s="33"/>
      <c r="O539" s="36"/>
    </row>
    <row r="540" spans="3:15" x14ac:dyDescent="0.25">
      <c r="C540" s="24"/>
      <c r="F540" s="33"/>
      <c r="H540" s="34"/>
      <c r="I540" s="35"/>
      <c r="J540" s="35"/>
      <c r="N540" s="33"/>
      <c r="O540" s="36"/>
    </row>
    <row r="541" spans="3:15" x14ac:dyDescent="0.25">
      <c r="C541" s="24"/>
      <c r="F541" s="33"/>
      <c r="H541" s="34"/>
      <c r="I541" s="35"/>
      <c r="J541" s="35"/>
      <c r="N541" s="33"/>
      <c r="O541" s="36"/>
    </row>
    <row r="542" spans="3:15" x14ac:dyDescent="0.25">
      <c r="C542" s="24"/>
      <c r="F542" s="33"/>
      <c r="H542" s="34"/>
      <c r="I542" s="35"/>
      <c r="J542" s="35"/>
      <c r="N542" s="33"/>
      <c r="O542" s="36"/>
    </row>
    <row r="543" spans="3:15" x14ac:dyDescent="0.25">
      <c r="C543" s="24"/>
      <c r="F543" s="33"/>
      <c r="H543" s="34"/>
      <c r="I543" s="35"/>
      <c r="J543" s="35"/>
      <c r="N543" s="33"/>
      <c r="O543" s="36"/>
    </row>
    <row r="544" spans="3:15" x14ac:dyDescent="0.25">
      <c r="C544" s="24"/>
      <c r="F544" s="33"/>
      <c r="H544" s="34"/>
      <c r="I544" s="35"/>
      <c r="J544" s="35"/>
      <c r="N544" s="33"/>
      <c r="O544" s="36"/>
    </row>
    <row r="545" spans="3:15" x14ac:dyDescent="0.25">
      <c r="C545" s="24"/>
      <c r="F545" s="33"/>
      <c r="H545" s="34"/>
      <c r="I545" s="35"/>
      <c r="J545" s="35"/>
      <c r="N545" s="33"/>
      <c r="O545" s="36"/>
    </row>
    <row r="546" spans="3:15" x14ac:dyDescent="0.25">
      <c r="C546" s="24"/>
      <c r="F546" s="33"/>
      <c r="H546" s="34"/>
      <c r="I546" s="35"/>
      <c r="J546" s="35"/>
      <c r="N546" s="33"/>
      <c r="O546" s="36"/>
    </row>
    <row r="547" spans="3:15" x14ac:dyDescent="0.25">
      <c r="C547" s="24"/>
      <c r="F547" s="33"/>
      <c r="H547" s="34"/>
      <c r="I547" s="35"/>
      <c r="J547" s="35"/>
      <c r="N547" s="33"/>
      <c r="O547" s="36"/>
    </row>
    <row r="548" spans="3:15" x14ac:dyDescent="0.25">
      <c r="C548" s="24"/>
      <c r="F548" s="33"/>
      <c r="H548" s="34"/>
      <c r="I548" s="35"/>
      <c r="J548" s="35"/>
      <c r="N548" s="33"/>
      <c r="O548" s="36"/>
    </row>
    <row r="549" spans="3:15" x14ac:dyDescent="0.25">
      <c r="C549" s="24"/>
      <c r="F549" s="33"/>
      <c r="H549" s="34"/>
      <c r="I549" s="35"/>
      <c r="J549" s="35"/>
      <c r="N549" s="33"/>
      <c r="O549" s="36"/>
    </row>
    <row r="550" spans="3:15" x14ac:dyDescent="0.25">
      <c r="C550" s="24"/>
      <c r="F550" s="33"/>
      <c r="H550" s="34"/>
      <c r="I550" s="35"/>
      <c r="J550" s="35"/>
      <c r="N550" s="33"/>
      <c r="O550" s="36"/>
    </row>
    <row r="551" spans="3:15" x14ac:dyDescent="0.25">
      <c r="C551" s="24"/>
      <c r="F551" s="33"/>
      <c r="H551" s="34"/>
      <c r="I551" s="35"/>
      <c r="J551" s="35"/>
      <c r="N551" s="33"/>
      <c r="O551" s="36"/>
    </row>
    <row r="552" spans="3:15" x14ac:dyDescent="0.25">
      <c r="C552" s="24"/>
      <c r="F552" s="33"/>
      <c r="H552" s="34"/>
      <c r="I552" s="35"/>
      <c r="J552" s="35"/>
      <c r="N552" s="33"/>
      <c r="O552" s="36"/>
    </row>
    <row r="553" spans="3:15" x14ac:dyDescent="0.25">
      <c r="C553" s="24"/>
      <c r="F553" s="33"/>
      <c r="H553" s="34"/>
      <c r="I553" s="35"/>
      <c r="J553" s="35"/>
      <c r="N553" s="33"/>
      <c r="O553" s="36"/>
    </row>
    <row r="554" spans="3:15" x14ac:dyDescent="0.25">
      <c r="C554" s="24"/>
      <c r="F554" s="33"/>
      <c r="H554" s="34"/>
      <c r="I554" s="35"/>
      <c r="J554" s="35"/>
      <c r="N554" s="33"/>
      <c r="O554" s="36"/>
    </row>
    <row r="555" spans="3:15" x14ac:dyDescent="0.25">
      <c r="C555" s="24"/>
      <c r="F555" s="33"/>
      <c r="H555" s="34"/>
      <c r="I555" s="35"/>
      <c r="J555" s="35"/>
      <c r="N555" s="33"/>
      <c r="O555" s="36"/>
    </row>
    <row r="556" spans="3:15" x14ac:dyDescent="0.25">
      <c r="C556" s="24"/>
      <c r="F556" s="33"/>
      <c r="H556" s="34"/>
      <c r="I556" s="35"/>
      <c r="J556" s="35"/>
      <c r="N556" s="33"/>
      <c r="O556" s="36"/>
    </row>
    <row r="557" spans="3:15" x14ac:dyDescent="0.25">
      <c r="C557" s="24"/>
      <c r="F557" s="33"/>
      <c r="H557" s="34"/>
      <c r="I557" s="35"/>
      <c r="J557" s="35"/>
      <c r="N557" s="33"/>
      <c r="O557" s="36"/>
    </row>
    <row r="558" spans="3:15" x14ac:dyDescent="0.25">
      <c r="C558" s="24"/>
      <c r="F558" s="33"/>
      <c r="H558" s="34"/>
      <c r="I558" s="35"/>
      <c r="J558" s="35"/>
      <c r="N558" s="33"/>
      <c r="O558" s="36"/>
    </row>
    <row r="559" spans="3:15" x14ac:dyDescent="0.25">
      <c r="C559" s="24"/>
      <c r="F559" s="33"/>
      <c r="H559" s="34"/>
      <c r="I559" s="35"/>
      <c r="J559" s="35"/>
      <c r="N559" s="33"/>
      <c r="O559" s="36"/>
    </row>
    <row r="560" spans="3:15" x14ac:dyDescent="0.25">
      <c r="C560" s="24"/>
      <c r="F560" s="33"/>
      <c r="H560" s="34"/>
      <c r="I560" s="35"/>
      <c r="J560" s="35"/>
      <c r="N560" s="33"/>
      <c r="O560" s="36"/>
    </row>
    <row r="561" spans="3:15" x14ac:dyDescent="0.25">
      <c r="C561" s="24"/>
      <c r="F561" s="33"/>
      <c r="H561" s="34"/>
      <c r="I561" s="35"/>
      <c r="J561" s="35"/>
      <c r="N561" s="33"/>
      <c r="O561" s="36"/>
    </row>
    <row r="562" spans="3:15" x14ac:dyDescent="0.25">
      <c r="C562" s="24"/>
      <c r="F562" s="33"/>
      <c r="H562" s="34"/>
      <c r="I562" s="35"/>
      <c r="J562" s="35"/>
      <c r="N562" s="33"/>
      <c r="O562" s="36"/>
    </row>
    <row r="563" spans="3:15" x14ac:dyDescent="0.25">
      <c r="C563" s="24"/>
      <c r="F563" s="33"/>
      <c r="H563" s="34"/>
      <c r="I563" s="35"/>
      <c r="J563" s="35"/>
      <c r="N563" s="33"/>
      <c r="O563" s="36"/>
    </row>
    <row r="564" spans="3:15" x14ac:dyDescent="0.25">
      <c r="C564" s="24"/>
      <c r="F564" s="33"/>
      <c r="H564" s="34"/>
      <c r="I564" s="35"/>
      <c r="J564" s="35"/>
      <c r="N564" s="33"/>
      <c r="O564" s="36"/>
    </row>
    <row r="565" spans="3:15" x14ac:dyDescent="0.25">
      <c r="C565" s="24"/>
      <c r="F565" s="33"/>
      <c r="H565" s="34"/>
      <c r="I565" s="35"/>
      <c r="J565" s="35"/>
      <c r="N565" s="33"/>
      <c r="O565" s="36"/>
    </row>
    <row r="566" spans="3:15" x14ac:dyDescent="0.25">
      <c r="C566" s="24"/>
      <c r="F566" s="33"/>
      <c r="H566" s="34"/>
      <c r="I566" s="35"/>
      <c r="J566" s="35"/>
      <c r="N566" s="33"/>
      <c r="O566" s="36"/>
    </row>
    <row r="567" spans="3:15" x14ac:dyDescent="0.25">
      <c r="C567" s="24"/>
      <c r="F567" s="33"/>
      <c r="H567" s="34"/>
      <c r="I567" s="35"/>
      <c r="J567" s="35"/>
      <c r="N567" s="33"/>
      <c r="O567" s="36"/>
    </row>
    <row r="568" spans="3:15" x14ac:dyDescent="0.25">
      <c r="C568" s="24"/>
      <c r="F568" s="33"/>
      <c r="H568" s="34"/>
      <c r="I568" s="35"/>
      <c r="J568" s="35"/>
      <c r="N568" s="33"/>
      <c r="O568" s="36"/>
    </row>
    <row r="569" spans="3:15" x14ac:dyDescent="0.25">
      <c r="C569" s="24"/>
      <c r="F569" s="33"/>
      <c r="H569" s="34"/>
      <c r="I569" s="35"/>
      <c r="J569" s="35"/>
      <c r="N569" s="33"/>
      <c r="O569" s="36"/>
    </row>
    <row r="570" spans="3:15" x14ac:dyDescent="0.25">
      <c r="C570" s="24"/>
      <c r="F570" s="33"/>
      <c r="H570" s="34"/>
      <c r="I570" s="35"/>
      <c r="J570" s="35"/>
      <c r="N570" s="33"/>
      <c r="O570" s="36"/>
    </row>
    <row r="571" spans="3:15" x14ac:dyDescent="0.25">
      <c r="C571" s="24"/>
      <c r="F571" s="33"/>
      <c r="H571" s="34"/>
      <c r="I571" s="35"/>
      <c r="J571" s="35"/>
      <c r="N571" s="33"/>
      <c r="O571" s="36"/>
    </row>
    <row r="572" spans="3:15" x14ac:dyDescent="0.25">
      <c r="C572" s="24"/>
      <c r="F572" s="33"/>
      <c r="H572" s="34"/>
      <c r="I572" s="35"/>
      <c r="J572" s="35"/>
      <c r="N572" s="33"/>
      <c r="O572" s="36"/>
    </row>
    <row r="573" spans="3:15" x14ac:dyDescent="0.25">
      <c r="C573" s="24"/>
      <c r="F573" s="33"/>
      <c r="H573" s="34"/>
      <c r="I573" s="35"/>
      <c r="J573" s="35"/>
      <c r="N573" s="33"/>
      <c r="O573" s="36"/>
    </row>
    <row r="574" spans="3:15" x14ac:dyDescent="0.25">
      <c r="C574" s="24"/>
      <c r="F574" s="33"/>
      <c r="H574" s="34"/>
      <c r="I574" s="35"/>
      <c r="J574" s="35"/>
      <c r="N574" s="33"/>
      <c r="O574" s="36"/>
    </row>
    <row r="575" spans="3:15" x14ac:dyDescent="0.25">
      <c r="C575" s="24"/>
      <c r="F575" s="33"/>
      <c r="H575" s="34"/>
      <c r="I575" s="35"/>
      <c r="J575" s="35"/>
      <c r="N575" s="33"/>
      <c r="O575" s="36"/>
    </row>
    <row r="576" spans="3:15" x14ac:dyDescent="0.25">
      <c r="C576" s="24"/>
      <c r="F576" s="33"/>
      <c r="H576" s="34"/>
      <c r="I576" s="35"/>
      <c r="J576" s="35"/>
      <c r="N576" s="33"/>
      <c r="O576" s="36"/>
    </row>
    <row r="577" spans="3:15" x14ac:dyDescent="0.25">
      <c r="C577" s="24"/>
      <c r="F577" s="33"/>
      <c r="H577" s="34"/>
      <c r="I577" s="35"/>
      <c r="J577" s="35"/>
      <c r="N577" s="33"/>
      <c r="O577" s="36"/>
    </row>
    <row r="578" spans="3:15" x14ac:dyDescent="0.25">
      <c r="C578" s="24"/>
      <c r="F578" s="33"/>
      <c r="H578" s="34"/>
      <c r="I578" s="35"/>
      <c r="J578" s="35"/>
      <c r="N578" s="33"/>
      <c r="O578" s="36"/>
    </row>
    <row r="579" spans="3:15" x14ac:dyDescent="0.25">
      <c r="C579" s="24"/>
      <c r="F579" s="33"/>
      <c r="H579" s="34"/>
      <c r="I579" s="35"/>
      <c r="J579" s="35"/>
      <c r="N579" s="33"/>
      <c r="O579" s="36"/>
    </row>
    <row r="580" spans="3:15" x14ac:dyDescent="0.25">
      <c r="C580" s="24"/>
      <c r="F580" s="33"/>
      <c r="H580" s="34"/>
      <c r="I580" s="35"/>
      <c r="J580" s="35"/>
      <c r="N580" s="33"/>
      <c r="O580" s="36"/>
    </row>
    <row r="581" spans="3:15" x14ac:dyDescent="0.25">
      <c r="C581" s="24"/>
      <c r="F581" s="33"/>
      <c r="H581" s="34"/>
      <c r="I581" s="35"/>
      <c r="J581" s="35"/>
      <c r="N581" s="33"/>
      <c r="O581" s="36"/>
    </row>
    <row r="582" spans="3:15" x14ac:dyDescent="0.25">
      <c r="C582" s="24"/>
      <c r="F582" s="33"/>
      <c r="H582" s="34"/>
      <c r="I582" s="35"/>
      <c r="J582" s="35"/>
      <c r="N582" s="33"/>
      <c r="O582" s="36"/>
    </row>
    <row r="583" spans="3:15" x14ac:dyDescent="0.25">
      <c r="C583" s="24"/>
      <c r="F583" s="33"/>
      <c r="H583" s="34"/>
      <c r="I583" s="35"/>
      <c r="J583" s="35"/>
      <c r="N583" s="33"/>
      <c r="O583" s="36"/>
    </row>
    <row r="584" spans="3:15" x14ac:dyDescent="0.25">
      <c r="C584" s="24"/>
      <c r="F584" s="33"/>
      <c r="H584" s="34"/>
      <c r="I584" s="35"/>
      <c r="J584" s="35"/>
      <c r="N584" s="33"/>
      <c r="O584" s="36"/>
    </row>
    <row r="585" spans="3:15" x14ac:dyDescent="0.25">
      <c r="C585" s="24"/>
      <c r="F585" s="33"/>
      <c r="H585" s="34"/>
      <c r="I585" s="35"/>
      <c r="J585" s="35"/>
      <c r="N585" s="33"/>
      <c r="O585" s="36"/>
    </row>
    <row r="586" spans="3:15" x14ac:dyDescent="0.25">
      <c r="C586" s="24"/>
      <c r="F586" s="33"/>
      <c r="H586" s="34"/>
      <c r="I586" s="35"/>
      <c r="J586" s="35"/>
      <c r="N586" s="33"/>
      <c r="O586" s="36"/>
    </row>
    <row r="587" spans="3:15" x14ac:dyDescent="0.25">
      <c r="C587" s="24"/>
      <c r="F587" s="33"/>
      <c r="H587" s="34"/>
      <c r="I587" s="35"/>
      <c r="J587" s="35"/>
      <c r="N587" s="33"/>
      <c r="O587" s="36"/>
    </row>
    <row r="588" spans="3:15" x14ac:dyDescent="0.25">
      <c r="C588" s="24"/>
      <c r="F588" s="33"/>
      <c r="H588" s="34"/>
      <c r="I588" s="35"/>
      <c r="J588" s="35"/>
      <c r="N588" s="33"/>
      <c r="O588" s="36"/>
    </row>
    <row r="589" spans="3:15" x14ac:dyDescent="0.25">
      <c r="C589" s="24"/>
      <c r="F589" s="33"/>
      <c r="H589" s="34"/>
      <c r="I589" s="35"/>
      <c r="J589" s="35"/>
      <c r="N589" s="33"/>
      <c r="O589" s="36"/>
    </row>
    <row r="590" spans="3:15" x14ac:dyDescent="0.25">
      <c r="C590" s="24"/>
      <c r="F590" s="33"/>
      <c r="H590" s="34"/>
      <c r="I590" s="35"/>
      <c r="J590" s="35"/>
      <c r="N590" s="33"/>
      <c r="O590" s="36"/>
    </row>
    <row r="591" spans="3:15" x14ac:dyDescent="0.25">
      <c r="C591" s="24"/>
      <c r="F591" s="33"/>
      <c r="H591" s="34"/>
      <c r="I591" s="35"/>
      <c r="J591" s="35"/>
      <c r="N591" s="33"/>
      <c r="O591" s="36"/>
    </row>
    <row r="592" spans="3:15" x14ac:dyDescent="0.25">
      <c r="C592" s="24"/>
      <c r="F592" s="33"/>
      <c r="H592" s="34"/>
      <c r="I592" s="35"/>
      <c r="J592" s="35"/>
      <c r="N592" s="33"/>
      <c r="O592" s="36"/>
    </row>
    <row r="593" spans="3:15" x14ac:dyDescent="0.25">
      <c r="C593" s="24"/>
      <c r="F593" s="33"/>
      <c r="H593" s="34"/>
      <c r="I593" s="35"/>
      <c r="J593" s="35"/>
      <c r="N593" s="33"/>
      <c r="O593" s="36"/>
    </row>
    <row r="594" spans="3:15" x14ac:dyDescent="0.25">
      <c r="C594" s="24"/>
      <c r="F594" s="33"/>
      <c r="H594" s="34"/>
      <c r="I594" s="35"/>
      <c r="J594" s="35"/>
      <c r="N594" s="33"/>
      <c r="O594" s="36"/>
    </row>
    <row r="595" spans="3:15" x14ac:dyDescent="0.25">
      <c r="C595" s="24"/>
      <c r="F595" s="33"/>
      <c r="H595" s="34"/>
      <c r="I595" s="35"/>
      <c r="J595" s="35"/>
      <c r="N595" s="33"/>
      <c r="O595" s="36"/>
    </row>
    <row r="596" spans="3:15" x14ac:dyDescent="0.25">
      <c r="C596" s="24"/>
      <c r="F596" s="33"/>
      <c r="H596" s="34"/>
      <c r="I596" s="35"/>
      <c r="J596" s="35"/>
      <c r="N596" s="33"/>
      <c r="O596" s="36"/>
    </row>
    <row r="597" spans="3:15" x14ac:dyDescent="0.25">
      <c r="C597" s="24"/>
      <c r="F597" s="33"/>
      <c r="H597" s="34"/>
      <c r="I597" s="35"/>
      <c r="J597" s="35"/>
      <c r="N597" s="33"/>
      <c r="O597" s="36"/>
    </row>
    <row r="598" spans="3:15" x14ac:dyDescent="0.25">
      <c r="C598" s="24"/>
      <c r="F598" s="33"/>
      <c r="H598" s="34"/>
      <c r="I598" s="35"/>
      <c r="J598" s="35"/>
      <c r="N598" s="33"/>
      <c r="O598" s="36"/>
    </row>
    <row r="599" spans="3:15" x14ac:dyDescent="0.25">
      <c r="C599" s="24"/>
      <c r="F599" s="33"/>
      <c r="H599" s="34"/>
      <c r="I599" s="35"/>
      <c r="J599" s="35"/>
      <c r="N599" s="33"/>
      <c r="O599" s="36"/>
    </row>
    <row r="600" spans="3:15" x14ac:dyDescent="0.25">
      <c r="C600" s="24"/>
      <c r="F600" s="33"/>
      <c r="H600" s="34"/>
      <c r="I600" s="35"/>
      <c r="J600" s="35"/>
      <c r="N600" s="33"/>
      <c r="O600" s="36"/>
    </row>
    <row r="601" spans="3:15" x14ac:dyDescent="0.25">
      <c r="C601" s="24"/>
      <c r="F601" s="33"/>
      <c r="H601" s="34"/>
      <c r="I601" s="35"/>
      <c r="J601" s="35"/>
      <c r="N601" s="33"/>
      <c r="O601" s="36"/>
    </row>
    <row r="602" spans="3:15" x14ac:dyDescent="0.25">
      <c r="C602" s="24"/>
      <c r="F602" s="33"/>
      <c r="H602" s="34"/>
      <c r="I602" s="35"/>
      <c r="J602" s="35"/>
      <c r="N602" s="33"/>
      <c r="O602" s="36"/>
    </row>
    <row r="603" spans="3:15" x14ac:dyDescent="0.25">
      <c r="C603" s="24"/>
      <c r="F603" s="33"/>
      <c r="H603" s="34"/>
      <c r="I603" s="35"/>
      <c r="J603" s="35"/>
      <c r="N603" s="33"/>
      <c r="O603" s="36"/>
    </row>
    <row r="604" spans="3:15" x14ac:dyDescent="0.25">
      <c r="C604" s="24"/>
      <c r="F604" s="33"/>
      <c r="H604" s="34"/>
      <c r="I604" s="35"/>
      <c r="J604" s="35"/>
      <c r="N604" s="33"/>
      <c r="O604" s="36"/>
    </row>
    <row r="605" spans="3:15" x14ac:dyDescent="0.25">
      <c r="C605" s="24"/>
      <c r="F605" s="33"/>
      <c r="H605" s="34"/>
      <c r="I605" s="35"/>
      <c r="J605" s="35"/>
      <c r="N605" s="33"/>
      <c r="O605" s="36"/>
    </row>
    <row r="606" spans="3:15" x14ac:dyDescent="0.25">
      <c r="C606" s="24"/>
      <c r="F606" s="33"/>
      <c r="H606" s="34"/>
      <c r="I606" s="35"/>
      <c r="J606" s="35"/>
      <c r="N606" s="33"/>
      <c r="O606" s="36"/>
    </row>
    <row r="607" spans="3:15" x14ac:dyDescent="0.25">
      <c r="C607" s="24"/>
      <c r="F607" s="33"/>
      <c r="H607" s="34"/>
      <c r="I607" s="35"/>
      <c r="J607" s="35"/>
      <c r="N607" s="33"/>
      <c r="O607" s="36"/>
    </row>
    <row r="608" spans="3:15" x14ac:dyDescent="0.25">
      <c r="C608" s="24"/>
      <c r="F608" s="33"/>
      <c r="H608" s="34"/>
      <c r="I608" s="35"/>
      <c r="J608" s="35"/>
      <c r="N608" s="33"/>
      <c r="O608" s="36"/>
    </row>
    <row r="609" spans="3:15" x14ac:dyDescent="0.25">
      <c r="C609" s="24"/>
      <c r="F609" s="33"/>
      <c r="H609" s="34"/>
      <c r="I609" s="35"/>
      <c r="J609" s="35"/>
      <c r="N609" s="33"/>
      <c r="O609" s="36"/>
    </row>
    <row r="610" spans="3:15" x14ac:dyDescent="0.25">
      <c r="C610" s="24"/>
      <c r="F610" s="33"/>
      <c r="H610" s="34"/>
      <c r="I610" s="35"/>
      <c r="J610" s="35"/>
      <c r="N610" s="33"/>
      <c r="O610" s="36"/>
    </row>
    <row r="611" spans="3:15" x14ac:dyDescent="0.25">
      <c r="C611" s="24"/>
      <c r="F611" s="33"/>
      <c r="H611" s="34"/>
      <c r="I611" s="35"/>
      <c r="J611" s="35"/>
      <c r="N611" s="33"/>
      <c r="O611" s="36"/>
    </row>
    <row r="612" spans="3:15" x14ac:dyDescent="0.25">
      <c r="C612" s="24"/>
      <c r="F612" s="33"/>
      <c r="H612" s="34"/>
      <c r="I612" s="35"/>
      <c r="J612" s="35"/>
      <c r="N612" s="33"/>
      <c r="O612" s="36"/>
    </row>
    <row r="613" spans="3:15" x14ac:dyDescent="0.25">
      <c r="C613" s="24"/>
      <c r="F613" s="33"/>
      <c r="H613" s="34"/>
      <c r="I613" s="35"/>
      <c r="J613" s="35"/>
      <c r="N613" s="33"/>
      <c r="O613" s="36"/>
    </row>
    <row r="614" spans="3:15" x14ac:dyDescent="0.25">
      <c r="C614" s="24"/>
      <c r="F614" s="33"/>
      <c r="H614" s="34"/>
      <c r="I614" s="35"/>
      <c r="J614" s="35"/>
      <c r="N614" s="33"/>
      <c r="O614" s="36"/>
    </row>
    <row r="615" spans="3:15" x14ac:dyDescent="0.25">
      <c r="C615" s="24"/>
      <c r="F615" s="33"/>
      <c r="H615" s="34"/>
      <c r="I615" s="35"/>
      <c r="J615" s="35"/>
      <c r="N615" s="33"/>
      <c r="O615" s="36"/>
    </row>
    <row r="616" spans="3:15" x14ac:dyDescent="0.25">
      <c r="C616" s="24"/>
      <c r="F616" s="33"/>
      <c r="H616" s="34"/>
      <c r="I616" s="35"/>
      <c r="J616" s="35"/>
      <c r="N616" s="33"/>
      <c r="O616" s="36"/>
    </row>
    <row r="617" spans="3:15" x14ac:dyDescent="0.25">
      <c r="C617" s="24"/>
      <c r="F617" s="33"/>
      <c r="H617" s="34"/>
      <c r="I617" s="35"/>
      <c r="J617" s="35"/>
      <c r="N617" s="33"/>
      <c r="O617" s="36"/>
    </row>
    <row r="618" spans="3:15" x14ac:dyDescent="0.25">
      <c r="C618" s="24"/>
      <c r="F618" s="33"/>
      <c r="H618" s="34"/>
      <c r="I618" s="35"/>
      <c r="J618" s="35"/>
      <c r="N618" s="33"/>
      <c r="O618" s="36"/>
    </row>
    <row r="619" spans="3:15" x14ac:dyDescent="0.25">
      <c r="C619" s="24"/>
      <c r="F619" s="33"/>
      <c r="H619" s="34"/>
      <c r="I619" s="35"/>
      <c r="J619" s="35"/>
      <c r="N619" s="33"/>
      <c r="O619" s="36"/>
    </row>
    <row r="620" spans="3:15" x14ac:dyDescent="0.25">
      <c r="C620" s="24"/>
      <c r="F620" s="33"/>
      <c r="H620" s="34"/>
      <c r="I620" s="35"/>
      <c r="J620" s="35"/>
      <c r="N620" s="33"/>
      <c r="O620" s="36"/>
    </row>
    <row r="621" spans="3:15" x14ac:dyDescent="0.25">
      <c r="C621" s="24"/>
      <c r="F621" s="33"/>
      <c r="H621" s="34"/>
      <c r="I621" s="35"/>
      <c r="J621" s="35"/>
      <c r="N621" s="33"/>
      <c r="O621" s="36"/>
    </row>
    <row r="622" spans="3:15" x14ac:dyDescent="0.25">
      <c r="C622" s="24"/>
      <c r="F622" s="33"/>
      <c r="H622" s="34"/>
      <c r="I622" s="35"/>
      <c r="J622" s="35"/>
      <c r="N622" s="33"/>
      <c r="O622" s="36"/>
    </row>
    <row r="623" spans="3:15" x14ac:dyDescent="0.25">
      <c r="C623" s="24"/>
      <c r="F623" s="33"/>
      <c r="H623" s="34"/>
      <c r="I623" s="35"/>
      <c r="J623" s="35"/>
      <c r="N623" s="33"/>
      <c r="O623" s="36"/>
    </row>
    <row r="624" spans="3:15" x14ac:dyDescent="0.25">
      <c r="C624" s="24"/>
      <c r="F624" s="33"/>
      <c r="H624" s="34"/>
      <c r="I624" s="35"/>
      <c r="J624" s="35"/>
      <c r="N624" s="33"/>
      <c r="O624" s="36"/>
    </row>
    <row r="625" spans="3:15" x14ac:dyDescent="0.25">
      <c r="C625" s="24"/>
      <c r="F625" s="33"/>
      <c r="H625" s="34"/>
      <c r="I625" s="35"/>
      <c r="J625" s="35"/>
      <c r="N625" s="33"/>
      <c r="O625" s="36"/>
    </row>
    <row r="626" spans="3:15" x14ac:dyDescent="0.25">
      <c r="C626" s="24"/>
      <c r="F626" s="33"/>
      <c r="H626" s="34"/>
      <c r="I626" s="35"/>
      <c r="J626" s="35"/>
      <c r="N626" s="33"/>
      <c r="O626" s="36"/>
    </row>
    <row r="627" spans="3:15" x14ac:dyDescent="0.25">
      <c r="C627" s="24"/>
      <c r="F627" s="33"/>
      <c r="H627" s="34"/>
      <c r="I627" s="35"/>
      <c r="J627" s="35"/>
      <c r="N627" s="33"/>
      <c r="O627" s="36"/>
    </row>
    <row r="628" spans="3:15" x14ac:dyDescent="0.25">
      <c r="C628" s="24"/>
      <c r="F628" s="33"/>
      <c r="H628" s="34"/>
      <c r="I628" s="35"/>
      <c r="J628" s="35"/>
      <c r="N628" s="33"/>
      <c r="O628" s="36"/>
    </row>
    <row r="629" spans="3:15" x14ac:dyDescent="0.25">
      <c r="C629" s="24"/>
      <c r="F629" s="33"/>
      <c r="H629" s="34"/>
      <c r="I629" s="35"/>
      <c r="J629" s="35"/>
      <c r="N629" s="33"/>
      <c r="O629" s="36"/>
    </row>
    <row r="630" spans="3:15" x14ac:dyDescent="0.25">
      <c r="C630" s="24"/>
      <c r="F630" s="33"/>
      <c r="H630" s="34"/>
      <c r="I630" s="35"/>
      <c r="J630" s="35"/>
      <c r="N630" s="33"/>
      <c r="O630" s="36"/>
    </row>
    <row r="631" spans="3:15" x14ac:dyDescent="0.25">
      <c r="C631" s="24"/>
      <c r="F631" s="33"/>
      <c r="H631" s="34"/>
      <c r="I631" s="35"/>
      <c r="J631" s="35"/>
      <c r="N631" s="33"/>
      <c r="O631" s="36"/>
    </row>
    <row r="632" spans="3:15" x14ac:dyDescent="0.25">
      <c r="C632" s="24"/>
      <c r="F632" s="33"/>
      <c r="H632" s="34"/>
      <c r="I632" s="35"/>
      <c r="J632" s="35"/>
      <c r="N632" s="33"/>
      <c r="O632" s="36"/>
    </row>
    <row r="633" spans="3:15" x14ac:dyDescent="0.25">
      <c r="C633" s="24"/>
      <c r="F633" s="33"/>
      <c r="H633" s="34"/>
      <c r="I633" s="35"/>
      <c r="J633" s="35"/>
      <c r="N633" s="33"/>
      <c r="O633" s="36"/>
    </row>
    <row r="634" spans="3:15" x14ac:dyDescent="0.25">
      <c r="C634" s="24"/>
      <c r="F634" s="33"/>
      <c r="H634" s="34"/>
      <c r="I634" s="35"/>
      <c r="J634" s="35"/>
      <c r="N634" s="33"/>
      <c r="O634" s="36"/>
    </row>
    <row r="635" spans="3:15" x14ac:dyDescent="0.25">
      <c r="C635" s="24"/>
      <c r="F635" s="33"/>
      <c r="H635" s="34"/>
      <c r="I635" s="35"/>
      <c r="J635" s="35"/>
      <c r="N635" s="33"/>
      <c r="O635" s="36"/>
    </row>
    <row r="636" spans="3:15" x14ac:dyDescent="0.25">
      <c r="C636" s="24"/>
      <c r="F636" s="33"/>
      <c r="H636" s="34"/>
      <c r="I636" s="35"/>
      <c r="J636" s="35"/>
      <c r="N636" s="33"/>
      <c r="O636" s="36"/>
    </row>
    <row r="637" spans="3:15" x14ac:dyDescent="0.25">
      <c r="C637" s="24"/>
      <c r="F637" s="33"/>
      <c r="H637" s="34"/>
      <c r="I637" s="35"/>
      <c r="J637" s="35"/>
      <c r="N637" s="33"/>
      <c r="O637" s="36"/>
    </row>
    <row r="638" spans="3:15" x14ac:dyDescent="0.25">
      <c r="C638" s="24"/>
      <c r="F638" s="33"/>
      <c r="H638" s="34"/>
      <c r="I638" s="35"/>
      <c r="J638" s="35"/>
      <c r="N638" s="33"/>
      <c r="O638" s="36"/>
    </row>
    <row r="639" spans="3:15" x14ac:dyDescent="0.25">
      <c r="C639" s="24"/>
      <c r="F639" s="33"/>
      <c r="H639" s="34"/>
      <c r="I639" s="35"/>
      <c r="J639" s="35"/>
      <c r="N639" s="33"/>
      <c r="O639" s="36"/>
    </row>
    <row r="640" spans="3:15" x14ac:dyDescent="0.25">
      <c r="C640" s="24"/>
      <c r="F640" s="33"/>
      <c r="H640" s="34"/>
      <c r="I640" s="35"/>
      <c r="J640" s="35"/>
      <c r="N640" s="33"/>
      <c r="O640" s="36"/>
    </row>
    <row r="641" spans="3:15" x14ac:dyDescent="0.25">
      <c r="C641" s="24"/>
      <c r="F641" s="33"/>
      <c r="H641" s="34"/>
      <c r="I641" s="35"/>
      <c r="J641" s="35"/>
      <c r="N641" s="33"/>
      <c r="O641" s="36"/>
    </row>
    <row r="642" spans="3:15" x14ac:dyDescent="0.25">
      <c r="C642" s="24"/>
      <c r="F642" s="33"/>
      <c r="H642" s="34"/>
      <c r="I642" s="35"/>
      <c r="J642" s="35"/>
      <c r="N642" s="33"/>
      <c r="O642" s="36"/>
    </row>
    <row r="643" spans="3:15" x14ac:dyDescent="0.25">
      <c r="C643" s="24"/>
      <c r="F643" s="33"/>
      <c r="H643" s="34"/>
      <c r="I643" s="35"/>
      <c r="J643" s="35"/>
      <c r="N643" s="33"/>
      <c r="O643" s="36"/>
    </row>
    <row r="644" spans="3:15" x14ac:dyDescent="0.25">
      <c r="C644" s="24"/>
      <c r="F644" s="33"/>
      <c r="H644" s="34"/>
      <c r="I644" s="35"/>
      <c r="J644" s="35"/>
      <c r="N644" s="33"/>
      <c r="O644" s="36"/>
    </row>
    <row r="645" spans="3:15" x14ac:dyDescent="0.25">
      <c r="C645" s="24"/>
      <c r="F645" s="33"/>
      <c r="H645" s="34"/>
      <c r="I645" s="35"/>
      <c r="J645" s="35"/>
      <c r="N645" s="33"/>
      <c r="O645" s="36"/>
    </row>
    <row r="646" spans="3:15" x14ac:dyDescent="0.25">
      <c r="C646" s="24"/>
      <c r="F646" s="33"/>
      <c r="H646" s="34"/>
      <c r="I646" s="35"/>
      <c r="J646" s="35"/>
      <c r="N646" s="33"/>
      <c r="O646" s="36"/>
    </row>
    <row r="647" spans="3:15" x14ac:dyDescent="0.25">
      <c r="C647" s="24"/>
      <c r="F647" s="33"/>
      <c r="H647" s="34"/>
      <c r="I647" s="35"/>
      <c r="J647" s="35"/>
      <c r="N647" s="33"/>
      <c r="O647" s="36"/>
    </row>
    <row r="648" spans="3:15" x14ac:dyDescent="0.25">
      <c r="C648" s="24"/>
      <c r="F648" s="33"/>
      <c r="H648" s="34"/>
      <c r="I648" s="35"/>
      <c r="J648" s="35"/>
      <c r="N648" s="33"/>
      <c r="O648" s="36"/>
    </row>
    <row r="649" spans="3:15" x14ac:dyDescent="0.25">
      <c r="C649" s="24"/>
      <c r="F649" s="33"/>
      <c r="H649" s="34"/>
      <c r="I649" s="35"/>
      <c r="J649" s="35"/>
      <c r="N649" s="33"/>
      <c r="O649" s="36"/>
    </row>
    <row r="650" spans="3:15" x14ac:dyDescent="0.25">
      <c r="C650" s="24"/>
      <c r="F650" s="33"/>
      <c r="H650" s="34"/>
      <c r="I650" s="35"/>
      <c r="J650" s="35"/>
      <c r="N650" s="33"/>
      <c r="O650" s="36"/>
    </row>
    <row r="651" spans="3:15" x14ac:dyDescent="0.25">
      <c r="C651" s="24"/>
      <c r="F651" s="33"/>
      <c r="H651" s="34"/>
      <c r="I651" s="35"/>
      <c r="J651" s="35"/>
      <c r="N651" s="33"/>
      <c r="O651" s="36"/>
    </row>
    <row r="652" spans="3:15" x14ac:dyDescent="0.25">
      <c r="C652" s="24"/>
      <c r="F652" s="33"/>
      <c r="H652" s="34"/>
      <c r="I652" s="35"/>
      <c r="J652" s="35"/>
      <c r="N652" s="33"/>
      <c r="O652" s="36"/>
    </row>
    <row r="653" spans="3:15" x14ac:dyDescent="0.25">
      <c r="C653" s="24"/>
      <c r="F653" s="33"/>
      <c r="H653" s="34"/>
      <c r="I653" s="35"/>
      <c r="J653" s="35"/>
      <c r="N653" s="33"/>
      <c r="O653" s="36"/>
    </row>
    <row r="654" spans="3:15" x14ac:dyDescent="0.25">
      <c r="C654" s="24"/>
      <c r="F654" s="33"/>
      <c r="H654" s="34"/>
      <c r="I654" s="35"/>
      <c r="J654" s="35"/>
      <c r="N654" s="33"/>
      <c r="O654" s="36"/>
    </row>
    <row r="655" spans="3:15" x14ac:dyDescent="0.25">
      <c r="C655" s="24"/>
      <c r="F655" s="33"/>
      <c r="H655" s="34"/>
      <c r="I655" s="35"/>
      <c r="J655" s="35"/>
      <c r="N655" s="33"/>
      <c r="O655" s="36"/>
    </row>
    <row r="656" spans="3:15" x14ac:dyDescent="0.25">
      <c r="C656" s="24"/>
      <c r="F656" s="33"/>
      <c r="H656" s="34"/>
      <c r="I656" s="35"/>
      <c r="J656" s="35"/>
      <c r="N656" s="33"/>
      <c r="O656" s="36"/>
    </row>
    <row r="657" spans="3:15" x14ac:dyDescent="0.25">
      <c r="C657" s="24"/>
      <c r="F657" s="33"/>
      <c r="H657" s="34"/>
      <c r="I657" s="35"/>
      <c r="J657" s="35"/>
      <c r="N657" s="33"/>
      <c r="O657" s="36"/>
    </row>
    <row r="658" spans="3:15" x14ac:dyDescent="0.25">
      <c r="C658" s="24"/>
      <c r="F658" s="33"/>
      <c r="H658" s="34"/>
      <c r="I658" s="35"/>
      <c r="J658" s="35"/>
      <c r="N658" s="33"/>
      <c r="O658" s="36"/>
    </row>
    <row r="659" spans="3:15" x14ac:dyDescent="0.25">
      <c r="C659" s="24"/>
      <c r="F659" s="33"/>
      <c r="H659" s="34"/>
      <c r="I659" s="35"/>
      <c r="J659" s="35"/>
      <c r="N659" s="33"/>
      <c r="O659" s="36"/>
    </row>
    <row r="660" spans="3:15" x14ac:dyDescent="0.25">
      <c r="C660" s="24"/>
      <c r="F660" s="33"/>
      <c r="H660" s="34"/>
      <c r="I660" s="35"/>
      <c r="J660" s="35"/>
      <c r="N660" s="33"/>
      <c r="O660" s="36"/>
    </row>
    <row r="661" spans="3:15" x14ac:dyDescent="0.25">
      <c r="C661" s="24"/>
      <c r="F661" s="33"/>
      <c r="H661" s="34"/>
      <c r="I661" s="35"/>
      <c r="J661" s="35"/>
      <c r="N661" s="33"/>
      <c r="O661" s="36"/>
    </row>
    <row r="662" spans="3:15" x14ac:dyDescent="0.25">
      <c r="C662" s="24"/>
      <c r="F662" s="33"/>
      <c r="H662" s="34"/>
      <c r="I662" s="35"/>
      <c r="J662" s="35"/>
      <c r="N662" s="33"/>
      <c r="O662" s="36"/>
    </row>
    <row r="663" spans="3:15" x14ac:dyDescent="0.25">
      <c r="C663" s="24"/>
      <c r="F663" s="33"/>
      <c r="H663" s="34"/>
      <c r="I663" s="35"/>
      <c r="J663" s="35"/>
      <c r="N663" s="33"/>
      <c r="O663" s="36"/>
    </row>
    <row r="664" spans="3:15" x14ac:dyDescent="0.25">
      <c r="C664" s="24"/>
      <c r="F664" s="33"/>
      <c r="H664" s="34"/>
      <c r="I664" s="35"/>
      <c r="J664" s="35"/>
      <c r="N664" s="33"/>
      <c r="O664" s="36"/>
    </row>
    <row r="665" spans="3:15" x14ac:dyDescent="0.25">
      <c r="C665" s="24"/>
      <c r="F665" s="33"/>
      <c r="H665" s="34"/>
      <c r="I665" s="35"/>
      <c r="J665" s="35"/>
      <c r="N665" s="33"/>
      <c r="O665" s="36"/>
    </row>
    <row r="666" spans="3:15" x14ac:dyDescent="0.25">
      <c r="C666" s="24"/>
      <c r="F666" s="33"/>
      <c r="H666" s="34"/>
      <c r="I666" s="35"/>
      <c r="J666" s="35"/>
      <c r="N666" s="33"/>
      <c r="O666" s="36"/>
    </row>
    <row r="667" spans="3:15" x14ac:dyDescent="0.25">
      <c r="C667" s="24"/>
      <c r="F667" s="33"/>
      <c r="H667" s="34"/>
      <c r="I667" s="35"/>
      <c r="J667" s="35"/>
      <c r="N667" s="33"/>
      <c r="O667" s="36"/>
    </row>
    <row r="668" spans="3:15" x14ac:dyDescent="0.25">
      <c r="C668" s="24"/>
      <c r="F668" s="33"/>
      <c r="H668" s="34"/>
      <c r="I668" s="35"/>
      <c r="J668" s="35"/>
      <c r="N668" s="33"/>
      <c r="O668" s="36"/>
    </row>
    <row r="669" spans="3:15" x14ac:dyDescent="0.25">
      <c r="C669" s="24"/>
      <c r="F669" s="33"/>
      <c r="H669" s="34"/>
      <c r="I669" s="35"/>
      <c r="J669" s="35"/>
      <c r="N669" s="33"/>
      <c r="O669" s="36"/>
    </row>
    <row r="670" spans="3:15" x14ac:dyDescent="0.25">
      <c r="C670" s="24"/>
      <c r="F670" s="33"/>
      <c r="H670" s="34"/>
      <c r="I670" s="35"/>
      <c r="J670" s="35"/>
      <c r="N670" s="33"/>
      <c r="O670" s="36"/>
    </row>
    <row r="671" spans="3:15" x14ac:dyDescent="0.25">
      <c r="C671" s="24"/>
      <c r="F671" s="33"/>
      <c r="H671" s="34"/>
      <c r="I671" s="35"/>
      <c r="J671" s="35"/>
      <c r="N671" s="33"/>
      <c r="O671" s="36"/>
    </row>
    <row r="672" spans="3:15" x14ac:dyDescent="0.25">
      <c r="C672" s="24"/>
      <c r="F672" s="33"/>
      <c r="H672" s="34"/>
      <c r="I672" s="35"/>
      <c r="J672" s="35"/>
      <c r="N672" s="33"/>
      <c r="O672" s="36"/>
    </row>
    <row r="673" spans="3:15" x14ac:dyDescent="0.25">
      <c r="C673" s="24"/>
      <c r="F673" s="33"/>
      <c r="H673" s="34"/>
      <c r="I673" s="35"/>
      <c r="J673" s="35"/>
      <c r="N673" s="33"/>
      <c r="O673" s="36"/>
    </row>
    <row r="674" spans="3:15" x14ac:dyDescent="0.25">
      <c r="C674" s="24"/>
      <c r="F674" s="33"/>
      <c r="H674" s="34"/>
      <c r="I674" s="35"/>
      <c r="J674" s="35"/>
      <c r="N674" s="33"/>
      <c r="O674" s="36"/>
    </row>
    <row r="675" spans="3:15" x14ac:dyDescent="0.25">
      <c r="C675" s="24"/>
      <c r="F675" s="33"/>
      <c r="H675" s="34"/>
      <c r="I675" s="35"/>
      <c r="J675" s="35"/>
      <c r="N675" s="33"/>
      <c r="O675" s="36"/>
    </row>
    <row r="676" spans="3:15" x14ac:dyDescent="0.25">
      <c r="C676" s="24"/>
      <c r="F676" s="33"/>
      <c r="H676" s="34"/>
      <c r="I676" s="35"/>
      <c r="J676" s="35"/>
      <c r="N676" s="33"/>
      <c r="O676" s="36"/>
    </row>
    <row r="677" spans="3:15" x14ac:dyDescent="0.25">
      <c r="C677" s="24"/>
      <c r="F677" s="33"/>
      <c r="H677" s="34"/>
      <c r="I677" s="35"/>
      <c r="J677" s="35"/>
      <c r="N677" s="33"/>
      <c r="O677" s="36"/>
    </row>
    <row r="678" spans="3:15" x14ac:dyDescent="0.25">
      <c r="C678" s="24"/>
      <c r="F678" s="33"/>
      <c r="H678" s="34"/>
      <c r="I678" s="35"/>
      <c r="J678" s="35"/>
      <c r="N678" s="33"/>
      <c r="O678" s="36"/>
    </row>
    <row r="679" spans="3:15" x14ac:dyDescent="0.25">
      <c r="C679" s="24"/>
      <c r="F679" s="33"/>
      <c r="H679" s="34"/>
      <c r="I679" s="35"/>
      <c r="J679" s="35"/>
      <c r="N679" s="33"/>
      <c r="O679" s="36"/>
    </row>
    <row r="680" spans="3:15" x14ac:dyDescent="0.25">
      <c r="C680" s="24"/>
      <c r="F680" s="33"/>
      <c r="H680" s="34"/>
      <c r="I680" s="35"/>
      <c r="J680" s="35"/>
      <c r="N680" s="33"/>
      <c r="O680" s="36"/>
    </row>
    <row r="681" spans="3:15" x14ac:dyDescent="0.25">
      <c r="C681" s="24"/>
      <c r="F681" s="33"/>
      <c r="H681" s="34"/>
      <c r="I681" s="35"/>
      <c r="J681" s="35"/>
      <c r="N681" s="33"/>
      <c r="O681" s="36"/>
    </row>
    <row r="682" spans="3:15" x14ac:dyDescent="0.25">
      <c r="C682" s="24"/>
      <c r="F682" s="33"/>
      <c r="H682" s="34"/>
      <c r="I682" s="35"/>
      <c r="J682" s="35"/>
      <c r="N682" s="33"/>
      <c r="O682" s="36"/>
    </row>
    <row r="683" spans="3:15" x14ac:dyDescent="0.25">
      <c r="C683" s="24"/>
      <c r="F683" s="33"/>
      <c r="H683" s="34"/>
      <c r="I683" s="35"/>
      <c r="J683" s="35"/>
      <c r="N683" s="33"/>
      <c r="O683" s="36"/>
    </row>
    <row r="684" spans="3:15" x14ac:dyDescent="0.25">
      <c r="C684" s="24"/>
      <c r="F684" s="33"/>
      <c r="H684" s="34"/>
      <c r="I684" s="35"/>
      <c r="J684" s="35"/>
      <c r="N684" s="33"/>
      <c r="O684" s="36"/>
    </row>
    <row r="685" spans="3:15" x14ac:dyDescent="0.25">
      <c r="C685" s="24"/>
      <c r="F685" s="33"/>
      <c r="H685" s="34"/>
      <c r="I685" s="35"/>
      <c r="J685" s="35"/>
      <c r="N685" s="33"/>
      <c r="O685" s="36"/>
    </row>
    <row r="686" spans="3:15" x14ac:dyDescent="0.25">
      <c r="C686" s="24"/>
      <c r="F686" s="33"/>
      <c r="H686" s="34"/>
      <c r="I686" s="35"/>
      <c r="J686" s="35"/>
      <c r="N686" s="33"/>
      <c r="O686" s="36"/>
    </row>
    <row r="687" spans="3:15" x14ac:dyDescent="0.25">
      <c r="C687" s="24"/>
      <c r="F687" s="33"/>
      <c r="H687" s="34"/>
      <c r="I687" s="35"/>
      <c r="J687" s="35"/>
      <c r="N687" s="33"/>
      <c r="O687" s="36"/>
    </row>
    <row r="688" spans="3:15" x14ac:dyDescent="0.25">
      <c r="C688" s="24"/>
      <c r="F688" s="33"/>
      <c r="H688" s="34"/>
      <c r="I688" s="35"/>
      <c r="J688" s="35"/>
      <c r="N688" s="33"/>
      <c r="O688" s="36"/>
    </row>
    <row r="689" spans="3:15" x14ac:dyDescent="0.25">
      <c r="C689" s="24"/>
      <c r="F689" s="33"/>
      <c r="H689" s="34"/>
      <c r="I689" s="35"/>
      <c r="J689" s="35"/>
      <c r="N689" s="33"/>
      <c r="O689" s="36"/>
    </row>
    <row r="690" spans="3:15" x14ac:dyDescent="0.25">
      <c r="C690" s="24"/>
      <c r="F690" s="33"/>
      <c r="H690" s="34"/>
      <c r="I690" s="35"/>
      <c r="J690" s="35"/>
      <c r="N690" s="33"/>
      <c r="O690" s="36"/>
    </row>
    <row r="691" spans="3:15" x14ac:dyDescent="0.25">
      <c r="C691" s="24"/>
      <c r="F691" s="33"/>
      <c r="H691" s="34"/>
      <c r="I691" s="35"/>
      <c r="J691" s="35"/>
      <c r="N691" s="33"/>
      <c r="O691" s="36"/>
    </row>
    <row r="692" spans="3:15" x14ac:dyDescent="0.25">
      <c r="C692" s="24"/>
      <c r="F692" s="33"/>
      <c r="H692" s="34"/>
      <c r="I692" s="35"/>
      <c r="J692" s="35"/>
      <c r="N692" s="33"/>
      <c r="O692" s="36"/>
    </row>
    <row r="693" spans="3:15" x14ac:dyDescent="0.25">
      <c r="C693" s="24"/>
      <c r="F693" s="33"/>
      <c r="H693" s="34"/>
      <c r="I693" s="35"/>
      <c r="J693" s="35"/>
      <c r="N693" s="33"/>
      <c r="O693" s="36"/>
    </row>
    <row r="694" spans="3:15" x14ac:dyDescent="0.25">
      <c r="C694" s="24"/>
      <c r="F694" s="33"/>
      <c r="H694" s="34"/>
      <c r="I694" s="35"/>
      <c r="J694" s="35"/>
      <c r="N694" s="33"/>
      <c r="O694" s="36"/>
    </row>
    <row r="695" spans="3:15" x14ac:dyDescent="0.25">
      <c r="C695" s="24"/>
      <c r="F695" s="33"/>
      <c r="H695" s="34"/>
      <c r="I695" s="35"/>
      <c r="J695" s="35"/>
      <c r="N695" s="33"/>
      <c r="O695" s="36"/>
    </row>
    <row r="696" spans="3:15" x14ac:dyDescent="0.25">
      <c r="C696" s="24"/>
      <c r="F696" s="33"/>
      <c r="H696" s="34"/>
      <c r="I696" s="35"/>
      <c r="J696" s="35"/>
      <c r="N696" s="33"/>
      <c r="O696" s="36"/>
    </row>
    <row r="697" spans="3:15" x14ac:dyDescent="0.25">
      <c r="C697" s="24"/>
      <c r="F697" s="33"/>
      <c r="H697" s="34"/>
      <c r="I697" s="35"/>
      <c r="J697" s="35"/>
      <c r="N697" s="33"/>
      <c r="O697" s="36"/>
    </row>
    <row r="698" spans="3:15" x14ac:dyDescent="0.25">
      <c r="C698" s="24"/>
      <c r="F698" s="33"/>
      <c r="H698" s="34"/>
      <c r="I698" s="35"/>
      <c r="J698" s="35"/>
      <c r="N698" s="33"/>
      <c r="O698" s="36"/>
    </row>
    <row r="699" spans="3:15" x14ac:dyDescent="0.25">
      <c r="C699" s="24"/>
      <c r="F699" s="33"/>
      <c r="H699" s="34"/>
      <c r="I699" s="35"/>
      <c r="J699" s="35"/>
      <c r="N699" s="33"/>
      <c r="O699" s="36"/>
    </row>
    <row r="700" spans="3:15" x14ac:dyDescent="0.25">
      <c r="C700" s="24"/>
      <c r="F700" s="33"/>
      <c r="H700" s="34"/>
      <c r="I700" s="35"/>
      <c r="J700" s="35"/>
      <c r="N700" s="33"/>
      <c r="O700" s="36"/>
    </row>
    <row r="701" spans="3:15" x14ac:dyDescent="0.25">
      <c r="C701" s="24"/>
      <c r="F701" s="33"/>
      <c r="H701" s="34"/>
      <c r="I701" s="35"/>
      <c r="J701" s="35"/>
      <c r="N701" s="33"/>
      <c r="O701" s="36"/>
    </row>
    <row r="702" spans="3:15" x14ac:dyDescent="0.25">
      <c r="C702" s="24"/>
      <c r="F702" s="33"/>
      <c r="H702" s="34"/>
      <c r="I702" s="35"/>
      <c r="J702" s="35"/>
      <c r="N702" s="33"/>
      <c r="O702" s="36"/>
    </row>
    <row r="703" spans="3:15" x14ac:dyDescent="0.25">
      <c r="C703" s="24"/>
      <c r="F703" s="33"/>
      <c r="H703" s="34"/>
      <c r="I703" s="35"/>
      <c r="J703" s="35"/>
      <c r="N703" s="33"/>
      <c r="O703" s="36"/>
    </row>
    <row r="704" spans="3:15" x14ac:dyDescent="0.25">
      <c r="C704" s="24"/>
      <c r="F704" s="33"/>
      <c r="H704" s="34"/>
      <c r="I704" s="35"/>
      <c r="J704" s="35"/>
      <c r="N704" s="33"/>
      <c r="O704" s="36"/>
    </row>
    <row r="705" spans="3:15" x14ac:dyDescent="0.25">
      <c r="C705" s="24"/>
      <c r="F705" s="33"/>
      <c r="H705" s="34"/>
      <c r="I705" s="35"/>
      <c r="J705" s="35"/>
      <c r="N705" s="33"/>
      <c r="O705" s="36"/>
    </row>
    <row r="706" spans="3:15" x14ac:dyDescent="0.25">
      <c r="C706" s="24"/>
      <c r="F706" s="33"/>
      <c r="H706" s="34"/>
      <c r="I706" s="35"/>
      <c r="J706" s="35"/>
      <c r="N706" s="33"/>
      <c r="O706" s="36"/>
    </row>
    <row r="707" spans="3:15" x14ac:dyDescent="0.25">
      <c r="C707" s="24"/>
      <c r="F707" s="33"/>
      <c r="H707" s="34"/>
      <c r="I707" s="35"/>
      <c r="J707" s="35"/>
      <c r="N707" s="33"/>
      <c r="O707" s="36"/>
    </row>
    <row r="708" spans="3:15" x14ac:dyDescent="0.25">
      <c r="C708" s="24"/>
      <c r="F708" s="33"/>
      <c r="H708" s="34"/>
      <c r="I708" s="35"/>
      <c r="J708" s="35"/>
      <c r="N708" s="33"/>
      <c r="O708" s="36"/>
    </row>
    <row r="709" spans="3:15" x14ac:dyDescent="0.25">
      <c r="C709" s="24"/>
      <c r="F709" s="33"/>
      <c r="H709" s="34"/>
      <c r="I709" s="35"/>
      <c r="J709" s="35"/>
      <c r="N709" s="33"/>
      <c r="O709" s="36"/>
    </row>
    <row r="710" spans="3:15" x14ac:dyDescent="0.25">
      <c r="C710" s="24"/>
      <c r="F710" s="33"/>
      <c r="H710" s="34"/>
      <c r="I710" s="35"/>
      <c r="J710" s="35"/>
      <c r="N710" s="33"/>
      <c r="O710" s="36"/>
    </row>
    <row r="711" spans="3:15" x14ac:dyDescent="0.25">
      <c r="C711" s="24"/>
      <c r="F711" s="33"/>
      <c r="H711" s="34"/>
      <c r="I711" s="35"/>
      <c r="J711" s="35"/>
      <c r="N711" s="33"/>
      <c r="O711" s="36"/>
    </row>
    <row r="712" spans="3:15" x14ac:dyDescent="0.25">
      <c r="C712" s="24"/>
      <c r="F712" s="33"/>
      <c r="H712" s="34"/>
      <c r="I712" s="35"/>
      <c r="J712" s="35"/>
      <c r="N712" s="33"/>
      <c r="O712" s="36"/>
    </row>
    <row r="713" spans="3:15" x14ac:dyDescent="0.25">
      <c r="C713" s="24"/>
      <c r="F713" s="33"/>
      <c r="H713" s="34"/>
      <c r="I713" s="35"/>
      <c r="J713" s="35"/>
      <c r="N713" s="33"/>
      <c r="O713" s="36"/>
    </row>
    <row r="714" spans="3:15" x14ac:dyDescent="0.25">
      <c r="C714" s="24"/>
      <c r="F714" s="33"/>
      <c r="H714" s="34"/>
      <c r="I714" s="35"/>
      <c r="J714" s="35"/>
      <c r="N714" s="33"/>
      <c r="O714" s="36"/>
    </row>
    <row r="715" spans="3:15" x14ac:dyDescent="0.25">
      <c r="C715" s="24"/>
      <c r="F715" s="33"/>
      <c r="H715" s="34"/>
      <c r="I715" s="35"/>
      <c r="J715" s="35"/>
      <c r="N715" s="33"/>
      <c r="O715" s="36"/>
    </row>
    <row r="716" spans="3:15" x14ac:dyDescent="0.25">
      <c r="C716" s="24"/>
      <c r="F716" s="33"/>
      <c r="H716" s="34"/>
      <c r="I716" s="35"/>
      <c r="J716" s="35"/>
      <c r="N716" s="33"/>
      <c r="O716" s="36"/>
    </row>
    <row r="717" spans="3:15" x14ac:dyDescent="0.25">
      <c r="C717" s="24"/>
      <c r="F717" s="33"/>
      <c r="H717" s="34"/>
      <c r="I717" s="35"/>
      <c r="J717" s="35"/>
      <c r="N717" s="33"/>
      <c r="O717" s="36"/>
    </row>
    <row r="718" spans="3:15" x14ac:dyDescent="0.25">
      <c r="C718" s="24"/>
      <c r="F718" s="33"/>
      <c r="H718" s="34"/>
      <c r="I718" s="35"/>
      <c r="J718" s="35"/>
      <c r="N718" s="33"/>
      <c r="O718" s="36"/>
    </row>
    <row r="719" spans="3:15" x14ac:dyDescent="0.25">
      <c r="C719" s="24"/>
      <c r="F719" s="33"/>
      <c r="H719" s="34"/>
      <c r="I719" s="35"/>
      <c r="J719" s="35"/>
      <c r="N719" s="33"/>
      <c r="O719" s="36"/>
    </row>
    <row r="720" spans="3:15" x14ac:dyDescent="0.25">
      <c r="C720" s="24"/>
      <c r="F720" s="33"/>
      <c r="H720" s="34"/>
      <c r="I720" s="35"/>
      <c r="J720" s="35"/>
      <c r="N720" s="33"/>
      <c r="O720" s="36"/>
    </row>
    <row r="721" spans="3:15" x14ac:dyDescent="0.25">
      <c r="C721" s="24"/>
      <c r="F721" s="33"/>
      <c r="H721" s="34"/>
      <c r="I721" s="35"/>
      <c r="J721" s="35"/>
      <c r="N721" s="33"/>
      <c r="O721" s="36"/>
    </row>
    <row r="722" spans="3:15" x14ac:dyDescent="0.25">
      <c r="C722" s="24"/>
      <c r="F722" s="33"/>
      <c r="H722" s="34"/>
      <c r="I722" s="35"/>
      <c r="J722" s="35"/>
      <c r="N722" s="33"/>
      <c r="O722" s="36"/>
    </row>
    <row r="723" spans="3:15" x14ac:dyDescent="0.25">
      <c r="C723" s="24"/>
      <c r="F723" s="33"/>
      <c r="H723" s="34"/>
      <c r="I723" s="35"/>
      <c r="J723" s="35"/>
      <c r="N723" s="33"/>
      <c r="O723" s="36"/>
    </row>
    <row r="724" spans="3:15" x14ac:dyDescent="0.25">
      <c r="C724" s="24"/>
      <c r="F724" s="33"/>
      <c r="H724" s="34"/>
      <c r="I724" s="35"/>
      <c r="J724" s="35"/>
      <c r="N724" s="33"/>
      <c r="O724" s="36"/>
    </row>
    <row r="725" spans="3:15" x14ac:dyDescent="0.25">
      <c r="C725" s="24"/>
      <c r="F725" s="33"/>
      <c r="H725" s="34"/>
      <c r="I725" s="35"/>
      <c r="J725" s="35"/>
      <c r="N725" s="33"/>
      <c r="O725" s="36"/>
    </row>
    <row r="726" spans="3:15" x14ac:dyDescent="0.25">
      <c r="C726" s="24"/>
      <c r="F726" s="33"/>
      <c r="H726" s="34"/>
      <c r="I726" s="35"/>
      <c r="J726" s="35"/>
      <c r="N726" s="33"/>
      <c r="O726" s="36"/>
    </row>
    <row r="727" spans="3:15" x14ac:dyDescent="0.25">
      <c r="C727" s="24"/>
      <c r="F727" s="33"/>
      <c r="H727" s="34"/>
      <c r="I727" s="35"/>
      <c r="J727" s="35"/>
      <c r="N727" s="33"/>
      <c r="O727" s="36"/>
    </row>
    <row r="728" spans="3:15" x14ac:dyDescent="0.25">
      <c r="C728" s="24"/>
      <c r="F728" s="33"/>
      <c r="H728" s="34"/>
      <c r="I728" s="35"/>
      <c r="J728" s="35"/>
      <c r="N728" s="33"/>
      <c r="O728" s="36"/>
    </row>
    <row r="729" spans="3:15" x14ac:dyDescent="0.25">
      <c r="C729" s="24"/>
      <c r="F729" s="33"/>
      <c r="H729" s="34"/>
      <c r="I729" s="35"/>
      <c r="J729" s="35"/>
      <c r="N729" s="33"/>
      <c r="O729" s="36"/>
    </row>
    <row r="730" spans="3:15" x14ac:dyDescent="0.25">
      <c r="C730" s="24"/>
      <c r="F730" s="33"/>
      <c r="H730" s="34"/>
      <c r="I730" s="35"/>
      <c r="J730" s="35"/>
      <c r="N730" s="33"/>
      <c r="O730" s="36"/>
    </row>
    <row r="731" spans="3:15" x14ac:dyDescent="0.25">
      <c r="C731" s="24"/>
      <c r="F731" s="33"/>
      <c r="H731" s="34"/>
      <c r="I731" s="35"/>
      <c r="J731" s="35"/>
      <c r="N731" s="33"/>
      <c r="O731" s="36"/>
    </row>
    <row r="732" spans="3:15" x14ac:dyDescent="0.25">
      <c r="C732" s="24"/>
      <c r="F732" s="33"/>
      <c r="H732" s="34"/>
      <c r="I732" s="35"/>
      <c r="J732" s="35"/>
      <c r="N732" s="33"/>
      <c r="O732" s="36"/>
    </row>
    <row r="733" spans="3:15" x14ac:dyDescent="0.25">
      <c r="C733" s="24"/>
      <c r="F733" s="33"/>
      <c r="H733" s="34"/>
      <c r="I733" s="35"/>
      <c r="J733" s="35"/>
      <c r="N733" s="33"/>
      <c r="O733" s="36"/>
    </row>
    <row r="734" spans="3:15" x14ac:dyDescent="0.25">
      <c r="C734" s="24"/>
      <c r="F734" s="33"/>
      <c r="H734" s="34"/>
      <c r="I734" s="35"/>
      <c r="J734" s="35"/>
      <c r="N734" s="33"/>
      <c r="O734" s="36"/>
    </row>
    <row r="735" spans="3:15" x14ac:dyDescent="0.25">
      <c r="C735" s="24"/>
      <c r="F735" s="33"/>
      <c r="H735" s="34"/>
      <c r="I735" s="35"/>
      <c r="J735" s="35"/>
      <c r="N735" s="33"/>
      <c r="O735" s="36"/>
    </row>
    <row r="736" spans="3:15" x14ac:dyDescent="0.25">
      <c r="C736" s="24"/>
      <c r="F736" s="33"/>
      <c r="H736" s="34"/>
      <c r="I736" s="35"/>
      <c r="J736" s="35"/>
      <c r="N736" s="33"/>
      <c r="O736" s="36"/>
    </row>
    <row r="737" spans="3:15" x14ac:dyDescent="0.25">
      <c r="C737" s="24"/>
      <c r="F737" s="33"/>
      <c r="H737" s="34"/>
      <c r="I737" s="35"/>
      <c r="J737" s="35"/>
      <c r="N737" s="33"/>
      <c r="O737" s="36"/>
    </row>
    <row r="738" spans="3:15" x14ac:dyDescent="0.25">
      <c r="C738" s="24"/>
      <c r="F738" s="33"/>
      <c r="H738" s="34"/>
      <c r="I738" s="35"/>
      <c r="J738" s="35"/>
      <c r="N738" s="33"/>
      <c r="O738" s="36"/>
    </row>
    <row r="739" spans="3:15" x14ac:dyDescent="0.25">
      <c r="C739" s="24"/>
      <c r="F739" s="33"/>
      <c r="H739" s="34"/>
      <c r="I739" s="35"/>
      <c r="J739" s="35"/>
      <c r="N739" s="33"/>
      <c r="O739" s="36"/>
    </row>
    <row r="740" spans="3:15" x14ac:dyDescent="0.25">
      <c r="C740" s="24"/>
      <c r="F740" s="33"/>
      <c r="H740" s="34"/>
      <c r="I740" s="35"/>
      <c r="J740" s="35"/>
      <c r="N740" s="33"/>
      <c r="O740" s="36"/>
    </row>
    <row r="741" spans="3:15" x14ac:dyDescent="0.25">
      <c r="C741" s="24"/>
      <c r="F741" s="33"/>
      <c r="H741" s="34"/>
      <c r="I741" s="35"/>
      <c r="J741" s="35"/>
      <c r="N741" s="33"/>
      <c r="O741" s="36"/>
    </row>
    <row r="742" spans="3:15" x14ac:dyDescent="0.25">
      <c r="C742" s="24"/>
      <c r="F742" s="33"/>
      <c r="H742" s="34"/>
      <c r="I742" s="35"/>
      <c r="J742" s="35"/>
      <c r="N742" s="33"/>
      <c r="O742" s="36"/>
    </row>
    <row r="743" spans="3:15" x14ac:dyDescent="0.25">
      <c r="C743" s="24"/>
      <c r="F743" s="33"/>
      <c r="H743" s="34"/>
      <c r="I743" s="35"/>
      <c r="J743" s="35"/>
      <c r="N743" s="33"/>
      <c r="O743" s="36"/>
    </row>
    <row r="744" spans="3:15" x14ac:dyDescent="0.25">
      <c r="C744" s="24"/>
      <c r="F744" s="33"/>
      <c r="H744" s="34"/>
      <c r="I744" s="35"/>
      <c r="J744" s="35"/>
      <c r="N744" s="33"/>
      <c r="O744" s="36"/>
    </row>
    <row r="745" spans="3:15" x14ac:dyDescent="0.25">
      <c r="C745" s="24"/>
      <c r="F745" s="33"/>
      <c r="H745" s="34"/>
      <c r="I745" s="35"/>
      <c r="J745" s="35"/>
      <c r="N745" s="33"/>
      <c r="O745" s="36"/>
    </row>
    <row r="746" spans="3:15" x14ac:dyDescent="0.25">
      <c r="C746" s="24"/>
      <c r="F746" s="33"/>
      <c r="H746" s="34"/>
      <c r="I746" s="35"/>
      <c r="J746" s="35"/>
      <c r="N746" s="33"/>
      <c r="O746" s="36"/>
    </row>
    <row r="747" spans="3:15" x14ac:dyDescent="0.25">
      <c r="C747" s="24"/>
      <c r="F747" s="33"/>
      <c r="H747" s="34"/>
      <c r="I747" s="35"/>
      <c r="J747" s="35"/>
      <c r="N747" s="33"/>
      <c r="O747" s="36"/>
    </row>
    <row r="748" spans="3:15" x14ac:dyDescent="0.25">
      <c r="C748" s="24"/>
      <c r="F748" s="33"/>
      <c r="H748" s="34"/>
      <c r="I748" s="35"/>
      <c r="J748" s="35"/>
      <c r="N748" s="33"/>
      <c r="O748" s="36"/>
    </row>
    <row r="749" spans="3:15" x14ac:dyDescent="0.25">
      <c r="C749" s="24"/>
      <c r="F749" s="33"/>
      <c r="H749" s="34"/>
      <c r="I749" s="35"/>
      <c r="J749" s="35"/>
      <c r="N749" s="33"/>
      <c r="O749" s="36"/>
    </row>
    <row r="750" spans="3:15" x14ac:dyDescent="0.25">
      <c r="C750" s="24"/>
      <c r="F750" s="33"/>
      <c r="H750" s="34"/>
      <c r="I750" s="35"/>
      <c r="J750" s="35"/>
      <c r="N750" s="33"/>
      <c r="O750" s="36"/>
    </row>
    <row r="751" spans="3:15" x14ac:dyDescent="0.25">
      <c r="C751" s="24"/>
      <c r="F751" s="33"/>
      <c r="H751" s="34"/>
      <c r="I751" s="35"/>
      <c r="J751" s="35"/>
      <c r="N751" s="33"/>
      <c r="O751" s="36"/>
    </row>
    <row r="752" spans="3:15" x14ac:dyDescent="0.25">
      <c r="C752" s="24"/>
      <c r="F752" s="33"/>
      <c r="H752" s="34"/>
      <c r="I752" s="35"/>
      <c r="J752" s="35"/>
      <c r="N752" s="33"/>
      <c r="O752" s="36"/>
    </row>
    <row r="753" spans="3:15" x14ac:dyDescent="0.25">
      <c r="C753" s="24"/>
      <c r="F753" s="33"/>
      <c r="H753" s="34"/>
      <c r="I753" s="35"/>
      <c r="J753" s="35"/>
      <c r="N753" s="33"/>
      <c r="O753" s="36"/>
    </row>
    <row r="754" spans="3:15" x14ac:dyDescent="0.25">
      <c r="C754" s="24"/>
      <c r="F754" s="33"/>
      <c r="H754" s="34"/>
      <c r="I754" s="35"/>
      <c r="J754" s="35"/>
      <c r="N754" s="33"/>
      <c r="O754" s="36"/>
    </row>
    <row r="755" spans="3:15" x14ac:dyDescent="0.25">
      <c r="C755" s="24"/>
      <c r="F755" s="33"/>
      <c r="H755" s="34"/>
      <c r="I755" s="35"/>
      <c r="J755" s="35"/>
      <c r="N755" s="33"/>
      <c r="O755" s="36"/>
    </row>
    <row r="756" spans="3:15" x14ac:dyDescent="0.25">
      <c r="C756" s="24"/>
      <c r="F756" s="33"/>
      <c r="H756" s="34"/>
      <c r="I756" s="35"/>
      <c r="J756" s="35"/>
      <c r="N756" s="33"/>
      <c r="O756" s="36"/>
    </row>
    <row r="757" spans="3:15" x14ac:dyDescent="0.25">
      <c r="C757" s="24"/>
      <c r="F757" s="33"/>
      <c r="H757" s="34"/>
      <c r="I757" s="35"/>
      <c r="J757" s="35"/>
      <c r="N757" s="33"/>
      <c r="O757" s="36"/>
    </row>
    <row r="758" spans="3:15" x14ac:dyDescent="0.25">
      <c r="C758" s="24"/>
      <c r="F758" s="33"/>
      <c r="H758" s="34"/>
      <c r="I758" s="35"/>
      <c r="J758" s="35"/>
      <c r="N758" s="33"/>
      <c r="O758" s="36"/>
    </row>
    <row r="759" spans="3:15" x14ac:dyDescent="0.25">
      <c r="C759" s="24"/>
      <c r="F759" s="33"/>
      <c r="H759" s="34"/>
      <c r="I759" s="35"/>
      <c r="J759" s="35"/>
      <c r="N759" s="33"/>
      <c r="O759" s="36"/>
    </row>
    <row r="760" spans="3:15" x14ac:dyDescent="0.25">
      <c r="C760" s="24"/>
      <c r="F760" s="33"/>
      <c r="H760" s="34"/>
      <c r="I760" s="35"/>
      <c r="J760" s="35"/>
      <c r="N760" s="33"/>
      <c r="O760" s="36"/>
    </row>
    <row r="761" spans="3:15" x14ac:dyDescent="0.25">
      <c r="C761" s="24"/>
      <c r="F761" s="33"/>
      <c r="H761" s="34"/>
      <c r="I761" s="35"/>
      <c r="J761" s="35"/>
      <c r="N761" s="33"/>
      <c r="O761" s="36"/>
    </row>
    <row r="762" spans="3:15" x14ac:dyDescent="0.25">
      <c r="C762" s="24"/>
      <c r="F762" s="33"/>
      <c r="H762" s="34"/>
      <c r="I762" s="35"/>
      <c r="J762" s="35"/>
      <c r="N762" s="33"/>
      <c r="O762" s="36"/>
    </row>
    <row r="763" spans="3:15" x14ac:dyDescent="0.25">
      <c r="C763" s="24"/>
      <c r="F763" s="33"/>
      <c r="H763" s="34"/>
      <c r="I763" s="35"/>
      <c r="J763" s="35"/>
      <c r="N763" s="33"/>
      <c r="O763" s="36"/>
    </row>
    <row r="764" spans="3:15" x14ac:dyDescent="0.25">
      <c r="C764" s="24"/>
      <c r="F764" s="33"/>
      <c r="H764" s="34"/>
      <c r="I764" s="35"/>
      <c r="J764" s="35"/>
      <c r="N764" s="33"/>
      <c r="O764" s="36"/>
    </row>
    <row r="765" spans="3:15" x14ac:dyDescent="0.25">
      <c r="C765" s="24"/>
      <c r="F765" s="33"/>
      <c r="H765" s="34"/>
      <c r="I765" s="35"/>
      <c r="J765" s="35"/>
      <c r="N765" s="33"/>
      <c r="O765" s="36"/>
    </row>
    <row r="766" spans="3:15" x14ac:dyDescent="0.25">
      <c r="C766" s="24"/>
      <c r="F766" s="33"/>
      <c r="H766" s="34"/>
      <c r="I766" s="35"/>
      <c r="J766" s="35"/>
      <c r="N766" s="33"/>
      <c r="O766" s="36"/>
    </row>
    <row r="767" spans="3:15" x14ac:dyDescent="0.25">
      <c r="C767" s="24"/>
      <c r="F767" s="33"/>
      <c r="H767" s="34"/>
      <c r="I767" s="35"/>
      <c r="J767" s="35"/>
      <c r="N767" s="33"/>
      <c r="O767" s="36"/>
    </row>
    <row r="768" spans="3:15" x14ac:dyDescent="0.25">
      <c r="C768" s="24"/>
      <c r="F768" s="33"/>
      <c r="H768" s="34"/>
      <c r="I768" s="35"/>
      <c r="J768" s="35"/>
      <c r="N768" s="33"/>
      <c r="O768" s="36"/>
    </row>
    <row r="769" spans="3:15" x14ac:dyDescent="0.25">
      <c r="C769" s="24"/>
      <c r="F769" s="33"/>
      <c r="H769" s="34"/>
      <c r="I769" s="35"/>
      <c r="J769" s="35"/>
      <c r="N769" s="33"/>
      <c r="O769" s="36"/>
    </row>
    <row r="770" spans="3:15" x14ac:dyDescent="0.25">
      <c r="C770" s="24"/>
      <c r="F770" s="33"/>
      <c r="H770" s="34"/>
      <c r="I770" s="35"/>
      <c r="J770" s="35"/>
      <c r="N770" s="33"/>
      <c r="O770" s="36"/>
    </row>
    <row r="771" spans="3:15" x14ac:dyDescent="0.25">
      <c r="C771" s="24"/>
      <c r="F771" s="33"/>
      <c r="H771" s="34"/>
      <c r="I771" s="35"/>
      <c r="J771" s="35"/>
      <c r="N771" s="33"/>
      <c r="O771" s="36"/>
    </row>
    <row r="772" spans="3:15" x14ac:dyDescent="0.25">
      <c r="C772" s="24"/>
      <c r="F772" s="33"/>
      <c r="H772" s="34"/>
      <c r="I772" s="35"/>
      <c r="J772" s="35"/>
      <c r="N772" s="33"/>
      <c r="O772" s="36"/>
    </row>
    <row r="773" spans="3:15" x14ac:dyDescent="0.25">
      <c r="C773" s="24"/>
      <c r="F773" s="33"/>
      <c r="H773" s="34"/>
      <c r="I773" s="35"/>
      <c r="J773" s="35"/>
      <c r="N773" s="33"/>
      <c r="O773" s="36"/>
    </row>
    <row r="774" spans="3:15" x14ac:dyDescent="0.25">
      <c r="C774" s="24"/>
      <c r="F774" s="33"/>
      <c r="H774" s="34"/>
      <c r="I774" s="35"/>
      <c r="J774" s="35"/>
      <c r="N774" s="33"/>
      <c r="O774" s="36"/>
    </row>
    <row r="775" spans="3:15" x14ac:dyDescent="0.25">
      <c r="C775" s="24"/>
      <c r="F775" s="33"/>
      <c r="H775" s="34"/>
      <c r="I775" s="35"/>
      <c r="J775" s="35"/>
      <c r="N775" s="33"/>
      <c r="O775" s="36"/>
    </row>
    <row r="776" spans="3:15" x14ac:dyDescent="0.25">
      <c r="C776" s="24"/>
      <c r="F776" s="33"/>
      <c r="H776" s="34"/>
      <c r="I776" s="35"/>
      <c r="J776" s="35"/>
      <c r="N776" s="33"/>
      <c r="O776" s="36"/>
    </row>
    <row r="777" spans="3:15" x14ac:dyDescent="0.25">
      <c r="C777" s="24"/>
      <c r="F777" s="33"/>
      <c r="H777" s="34"/>
      <c r="I777" s="35"/>
      <c r="J777" s="35"/>
      <c r="N777" s="33"/>
      <c r="O777" s="36"/>
    </row>
    <row r="778" spans="3:15" x14ac:dyDescent="0.25">
      <c r="C778" s="24"/>
      <c r="F778" s="33"/>
      <c r="H778" s="34"/>
      <c r="I778" s="35"/>
      <c r="J778" s="35"/>
      <c r="N778" s="33"/>
      <c r="O778" s="36"/>
    </row>
    <row r="779" spans="3:15" x14ac:dyDescent="0.25">
      <c r="C779" s="24"/>
      <c r="F779" s="33"/>
      <c r="H779" s="34"/>
      <c r="I779" s="35"/>
      <c r="J779" s="35"/>
      <c r="N779" s="33"/>
      <c r="O779" s="36"/>
    </row>
    <row r="780" spans="3:15" x14ac:dyDescent="0.25">
      <c r="C780" s="24"/>
      <c r="F780" s="33"/>
      <c r="H780" s="34"/>
      <c r="I780" s="35"/>
      <c r="J780" s="35"/>
      <c r="N780" s="33"/>
      <c r="O780" s="36"/>
    </row>
    <row r="781" spans="3:15" x14ac:dyDescent="0.25">
      <c r="C781" s="24"/>
      <c r="F781" s="33"/>
      <c r="H781" s="34"/>
      <c r="I781" s="35"/>
      <c r="J781" s="35"/>
      <c r="N781" s="33"/>
      <c r="O781" s="36"/>
    </row>
    <row r="782" spans="3:15" x14ac:dyDescent="0.25">
      <c r="C782" s="24"/>
      <c r="F782" s="33"/>
      <c r="H782" s="34"/>
      <c r="I782" s="35"/>
      <c r="J782" s="35"/>
      <c r="N782" s="33"/>
      <c r="O782" s="36"/>
    </row>
    <row r="783" spans="3:15" x14ac:dyDescent="0.25">
      <c r="C783" s="24"/>
      <c r="F783" s="33"/>
      <c r="H783" s="34"/>
      <c r="I783" s="35"/>
      <c r="J783" s="35"/>
      <c r="N783" s="33"/>
      <c r="O783" s="36"/>
    </row>
    <row r="784" spans="3:15" x14ac:dyDescent="0.25">
      <c r="C784" s="24"/>
      <c r="F784" s="33"/>
      <c r="H784" s="34"/>
      <c r="I784" s="35"/>
      <c r="J784" s="35"/>
      <c r="N784" s="33"/>
      <c r="O784" s="36"/>
    </row>
    <row r="785" spans="3:15" x14ac:dyDescent="0.25">
      <c r="C785" s="24"/>
      <c r="F785" s="33"/>
      <c r="H785" s="34"/>
      <c r="I785" s="35"/>
      <c r="J785" s="35"/>
      <c r="N785" s="33"/>
      <c r="O785" s="36"/>
    </row>
    <row r="786" spans="3:15" x14ac:dyDescent="0.25">
      <c r="C786" s="24"/>
      <c r="F786" s="33"/>
      <c r="H786" s="34"/>
      <c r="I786" s="35"/>
      <c r="J786" s="35"/>
      <c r="N786" s="33"/>
      <c r="O786" s="36"/>
    </row>
    <row r="787" spans="3:15" x14ac:dyDescent="0.25">
      <c r="C787" s="24"/>
      <c r="F787" s="33"/>
      <c r="H787" s="34"/>
      <c r="I787" s="35"/>
      <c r="J787" s="35"/>
      <c r="N787" s="33"/>
      <c r="O787" s="36"/>
    </row>
    <row r="788" spans="3:15" x14ac:dyDescent="0.25">
      <c r="C788" s="24"/>
      <c r="F788" s="33"/>
      <c r="H788" s="34"/>
      <c r="I788" s="35"/>
      <c r="J788" s="35"/>
      <c r="N788" s="33"/>
      <c r="O788" s="36"/>
    </row>
    <row r="789" spans="3:15" x14ac:dyDescent="0.25">
      <c r="C789" s="24"/>
      <c r="F789" s="33"/>
      <c r="H789" s="34"/>
      <c r="I789" s="35"/>
      <c r="J789" s="35"/>
      <c r="N789" s="33"/>
      <c r="O789" s="36"/>
    </row>
    <row r="790" spans="3:15" x14ac:dyDescent="0.25">
      <c r="C790" s="24"/>
      <c r="F790" s="33"/>
      <c r="H790" s="34"/>
      <c r="I790" s="35"/>
      <c r="J790" s="35"/>
      <c r="N790" s="33"/>
      <c r="O790" s="36"/>
    </row>
    <row r="791" spans="3:15" x14ac:dyDescent="0.25">
      <c r="C791" s="24"/>
      <c r="F791" s="33"/>
      <c r="H791" s="34"/>
      <c r="I791" s="35"/>
      <c r="J791" s="35"/>
      <c r="N791" s="33"/>
      <c r="O791" s="36"/>
    </row>
    <row r="792" spans="3:15" x14ac:dyDescent="0.25">
      <c r="C792" s="24"/>
      <c r="F792" s="33"/>
      <c r="H792" s="34"/>
      <c r="I792" s="35"/>
      <c r="J792" s="35"/>
      <c r="N792" s="33"/>
      <c r="O792" s="36"/>
    </row>
    <row r="793" spans="3:15" x14ac:dyDescent="0.25">
      <c r="C793" s="24"/>
      <c r="F793" s="33"/>
      <c r="H793" s="34"/>
      <c r="I793" s="35"/>
      <c r="J793" s="35"/>
      <c r="N793" s="33"/>
      <c r="O793" s="36"/>
    </row>
    <row r="794" spans="3:15" x14ac:dyDescent="0.25">
      <c r="C794" s="24"/>
      <c r="F794" s="33"/>
      <c r="H794" s="34"/>
      <c r="I794" s="35"/>
      <c r="J794" s="35"/>
      <c r="N794" s="33"/>
      <c r="O794" s="36"/>
    </row>
    <row r="795" spans="3:15" x14ac:dyDescent="0.25">
      <c r="C795" s="24"/>
      <c r="F795" s="33"/>
      <c r="H795" s="34"/>
      <c r="I795" s="35"/>
      <c r="J795" s="35"/>
      <c r="N795" s="33"/>
      <c r="O795" s="36"/>
    </row>
    <row r="796" spans="3:15" x14ac:dyDescent="0.25">
      <c r="C796" s="24"/>
      <c r="F796" s="33"/>
      <c r="H796" s="34"/>
      <c r="I796" s="35"/>
      <c r="J796" s="35"/>
      <c r="N796" s="33"/>
      <c r="O796" s="36"/>
    </row>
    <row r="797" spans="3:15" x14ac:dyDescent="0.25">
      <c r="C797" s="24"/>
      <c r="F797" s="33"/>
      <c r="H797" s="34"/>
      <c r="I797" s="35"/>
      <c r="J797" s="35"/>
      <c r="N797" s="33"/>
      <c r="O797" s="36"/>
    </row>
    <row r="798" spans="3:15" x14ac:dyDescent="0.25">
      <c r="C798" s="24"/>
      <c r="F798" s="33"/>
      <c r="H798" s="34"/>
      <c r="I798" s="35"/>
      <c r="J798" s="35"/>
      <c r="N798" s="33"/>
      <c r="O798" s="36"/>
    </row>
    <row r="799" spans="3:15" x14ac:dyDescent="0.25">
      <c r="C799" s="24"/>
      <c r="F799" s="33"/>
      <c r="H799" s="34"/>
      <c r="I799" s="35"/>
      <c r="J799" s="35"/>
      <c r="N799" s="33"/>
      <c r="O799" s="36"/>
    </row>
    <row r="800" spans="3:15" x14ac:dyDescent="0.25">
      <c r="C800" s="24"/>
      <c r="F800" s="33"/>
      <c r="H800" s="34"/>
      <c r="I800" s="35"/>
      <c r="J800" s="35"/>
      <c r="N800" s="33"/>
      <c r="O800" s="36"/>
    </row>
    <row r="801" spans="3:15" x14ac:dyDescent="0.25">
      <c r="C801" s="24"/>
      <c r="F801" s="33"/>
      <c r="H801" s="34"/>
      <c r="I801" s="35"/>
      <c r="J801" s="35"/>
      <c r="N801" s="33"/>
      <c r="O801" s="36"/>
    </row>
    <row r="802" spans="3:15" x14ac:dyDescent="0.25">
      <c r="C802" s="24"/>
      <c r="F802" s="33"/>
      <c r="H802" s="34"/>
      <c r="I802" s="35"/>
      <c r="J802" s="35"/>
      <c r="N802" s="33"/>
      <c r="O802" s="36"/>
    </row>
    <row r="803" spans="3:15" x14ac:dyDescent="0.25">
      <c r="C803" s="24"/>
      <c r="F803" s="33"/>
      <c r="H803" s="34"/>
      <c r="I803" s="35"/>
      <c r="J803" s="35"/>
      <c r="N803" s="33"/>
      <c r="O803" s="36"/>
    </row>
    <row r="804" spans="3:15" x14ac:dyDescent="0.25">
      <c r="C804" s="24"/>
      <c r="F804" s="33"/>
      <c r="H804" s="34"/>
      <c r="I804" s="35"/>
      <c r="J804" s="35"/>
      <c r="N804" s="33"/>
      <c r="O804" s="36"/>
    </row>
    <row r="805" spans="3:15" x14ac:dyDescent="0.25">
      <c r="C805" s="24"/>
      <c r="F805" s="33"/>
      <c r="H805" s="34"/>
      <c r="I805" s="35"/>
      <c r="J805" s="35"/>
      <c r="N805" s="33"/>
      <c r="O805" s="36"/>
    </row>
    <row r="806" spans="3:15" x14ac:dyDescent="0.25">
      <c r="C806" s="24"/>
      <c r="F806" s="33"/>
      <c r="H806" s="34"/>
      <c r="I806" s="35"/>
      <c r="J806" s="35"/>
      <c r="N806" s="33"/>
      <c r="O806" s="36"/>
    </row>
    <row r="807" spans="3:15" x14ac:dyDescent="0.25">
      <c r="C807" s="24"/>
      <c r="F807" s="33"/>
      <c r="H807" s="34"/>
      <c r="I807" s="35"/>
      <c r="J807" s="35"/>
      <c r="N807" s="33"/>
      <c r="O807" s="36"/>
    </row>
    <row r="808" spans="3:15" x14ac:dyDescent="0.25">
      <c r="C808" s="24"/>
      <c r="F808" s="33"/>
      <c r="H808" s="34"/>
      <c r="I808" s="35"/>
      <c r="J808" s="35"/>
      <c r="N808" s="33"/>
      <c r="O808" s="36"/>
    </row>
    <row r="809" spans="3:15" x14ac:dyDescent="0.25">
      <c r="C809" s="24"/>
      <c r="F809" s="33"/>
      <c r="H809" s="34"/>
      <c r="I809" s="35"/>
      <c r="J809" s="35"/>
      <c r="N809" s="33"/>
      <c r="O809" s="36"/>
    </row>
    <row r="810" spans="3:15" x14ac:dyDescent="0.25">
      <c r="C810" s="24"/>
      <c r="F810" s="33"/>
      <c r="H810" s="34"/>
      <c r="I810" s="35"/>
      <c r="J810" s="35"/>
      <c r="N810" s="33"/>
      <c r="O810" s="36"/>
    </row>
    <row r="811" spans="3:15" x14ac:dyDescent="0.25">
      <c r="C811" s="24"/>
      <c r="F811" s="33"/>
      <c r="H811" s="34"/>
      <c r="I811" s="35"/>
      <c r="J811" s="35"/>
      <c r="N811" s="33"/>
      <c r="O811" s="36"/>
    </row>
    <row r="812" spans="3:15" x14ac:dyDescent="0.25">
      <c r="C812" s="24"/>
      <c r="F812" s="33"/>
      <c r="H812" s="34"/>
      <c r="I812" s="35"/>
      <c r="J812" s="35"/>
      <c r="N812" s="33"/>
      <c r="O812" s="36"/>
    </row>
    <row r="813" spans="3:15" x14ac:dyDescent="0.25">
      <c r="C813" s="24"/>
      <c r="F813" s="33"/>
      <c r="H813" s="34"/>
      <c r="I813" s="35"/>
      <c r="J813" s="35"/>
      <c r="N813" s="33"/>
      <c r="O813" s="36"/>
    </row>
    <row r="814" spans="3:15" x14ac:dyDescent="0.25">
      <c r="C814" s="24"/>
      <c r="F814" s="33"/>
      <c r="H814" s="34"/>
      <c r="I814" s="35"/>
      <c r="J814" s="35"/>
      <c r="N814" s="33"/>
      <c r="O814" s="36"/>
    </row>
    <row r="815" spans="3:15" x14ac:dyDescent="0.25">
      <c r="C815" s="24"/>
      <c r="F815" s="33"/>
      <c r="H815" s="34"/>
      <c r="I815" s="35"/>
      <c r="J815" s="35"/>
      <c r="N815" s="33"/>
      <c r="O815" s="36"/>
    </row>
    <row r="816" spans="3:15" x14ac:dyDescent="0.25">
      <c r="C816" s="24"/>
      <c r="F816" s="33"/>
      <c r="H816" s="34"/>
      <c r="I816" s="35"/>
      <c r="J816" s="35"/>
      <c r="N816" s="33"/>
      <c r="O816" s="36"/>
    </row>
    <row r="817" spans="3:15" x14ac:dyDescent="0.25">
      <c r="C817" s="24"/>
      <c r="F817" s="33"/>
      <c r="H817" s="34"/>
      <c r="I817" s="35"/>
      <c r="J817" s="35"/>
      <c r="N817" s="33"/>
      <c r="O817" s="36"/>
    </row>
    <row r="818" spans="3:15" x14ac:dyDescent="0.25">
      <c r="C818" s="24"/>
      <c r="F818" s="33"/>
      <c r="H818" s="34"/>
      <c r="I818" s="35"/>
      <c r="J818" s="35"/>
      <c r="N818" s="33"/>
      <c r="O818" s="36"/>
    </row>
    <row r="819" spans="3:15" x14ac:dyDescent="0.25">
      <c r="C819" s="24"/>
      <c r="F819" s="33"/>
      <c r="H819" s="34"/>
      <c r="I819" s="35"/>
      <c r="J819" s="35"/>
      <c r="N819" s="33"/>
      <c r="O819" s="36"/>
    </row>
    <row r="820" spans="3:15" x14ac:dyDescent="0.25">
      <c r="C820" s="24"/>
      <c r="F820" s="33"/>
      <c r="H820" s="34"/>
      <c r="I820" s="35"/>
      <c r="J820" s="35"/>
      <c r="N820" s="33"/>
      <c r="O820" s="36"/>
    </row>
    <row r="821" spans="3:15" x14ac:dyDescent="0.25">
      <c r="C821" s="24"/>
      <c r="F821" s="33"/>
      <c r="H821" s="34"/>
      <c r="I821" s="35"/>
      <c r="J821" s="35"/>
      <c r="N821" s="33"/>
      <c r="O821" s="36"/>
    </row>
    <row r="822" spans="3:15" x14ac:dyDescent="0.25">
      <c r="C822" s="24"/>
      <c r="F822" s="33"/>
      <c r="H822" s="34"/>
      <c r="I822" s="35"/>
      <c r="J822" s="35"/>
      <c r="N822" s="33"/>
      <c r="O822" s="36"/>
    </row>
    <row r="823" spans="3:15" x14ac:dyDescent="0.25">
      <c r="C823" s="24"/>
      <c r="F823" s="33"/>
      <c r="H823" s="34"/>
      <c r="I823" s="35"/>
      <c r="J823" s="35"/>
      <c r="N823" s="33"/>
      <c r="O823" s="36"/>
    </row>
    <row r="824" spans="3:15" x14ac:dyDescent="0.25">
      <c r="C824" s="24"/>
      <c r="F824" s="33"/>
      <c r="H824" s="34"/>
      <c r="I824" s="35"/>
      <c r="J824" s="35"/>
      <c r="N824" s="33"/>
      <c r="O824" s="36"/>
    </row>
    <row r="825" spans="3:15" x14ac:dyDescent="0.25">
      <c r="C825" s="24"/>
      <c r="F825" s="33"/>
      <c r="H825" s="34"/>
      <c r="I825" s="35"/>
      <c r="J825" s="35"/>
      <c r="N825" s="33"/>
      <c r="O825" s="36"/>
    </row>
    <row r="826" spans="3:15" x14ac:dyDescent="0.25">
      <c r="C826" s="24"/>
      <c r="F826" s="33"/>
      <c r="H826" s="34"/>
      <c r="I826" s="35"/>
      <c r="J826" s="35"/>
      <c r="N826" s="33"/>
      <c r="O826" s="36"/>
    </row>
    <row r="827" spans="3:15" x14ac:dyDescent="0.25">
      <c r="C827" s="24"/>
      <c r="F827" s="33"/>
      <c r="H827" s="34"/>
      <c r="I827" s="35"/>
      <c r="J827" s="35"/>
      <c r="N827" s="33"/>
      <c r="O827" s="36"/>
    </row>
    <row r="828" spans="3:15" x14ac:dyDescent="0.25">
      <c r="C828" s="24"/>
      <c r="F828" s="33"/>
      <c r="H828" s="34"/>
      <c r="I828" s="35"/>
      <c r="J828" s="35"/>
      <c r="N828" s="33"/>
      <c r="O828" s="36"/>
    </row>
    <row r="829" spans="3:15" x14ac:dyDescent="0.25">
      <c r="C829" s="24"/>
      <c r="F829" s="33"/>
      <c r="H829" s="34"/>
      <c r="I829" s="35"/>
      <c r="J829" s="35"/>
      <c r="N829" s="33"/>
      <c r="O829" s="36"/>
    </row>
    <row r="830" spans="3:15" x14ac:dyDescent="0.25">
      <c r="C830" s="24"/>
      <c r="F830" s="33"/>
      <c r="H830" s="34"/>
      <c r="I830" s="35"/>
      <c r="J830" s="35"/>
      <c r="N830" s="33"/>
      <c r="O830" s="36"/>
    </row>
    <row r="831" spans="3:15" x14ac:dyDescent="0.25">
      <c r="C831" s="24"/>
      <c r="F831" s="33"/>
      <c r="H831" s="34"/>
      <c r="I831" s="35"/>
      <c r="J831" s="35"/>
      <c r="N831" s="33"/>
      <c r="O831" s="36"/>
    </row>
    <row r="832" spans="3:15" x14ac:dyDescent="0.25">
      <c r="C832" s="24"/>
      <c r="F832" s="33"/>
      <c r="H832" s="34"/>
      <c r="I832" s="35"/>
      <c r="J832" s="35"/>
      <c r="N832" s="33"/>
      <c r="O832" s="36"/>
    </row>
    <row r="833" spans="3:15" x14ac:dyDescent="0.25">
      <c r="C833" s="24"/>
      <c r="F833" s="33"/>
      <c r="H833" s="34"/>
      <c r="I833" s="35"/>
      <c r="J833" s="35"/>
      <c r="N833" s="33"/>
      <c r="O833" s="36"/>
    </row>
    <row r="834" spans="3:15" x14ac:dyDescent="0.25">
      <c r="C834" s="24"/>
      <c r="F834" s="33"/>
      <c r="H834" s="34"/>
      <c r="I834" s="35"/>
      <c r="J834" s="35"/>
      <c r="N834" s="33"/>
      <c r="O834" s="36"/>
    </row>
    <row r="835" spans="3:15" x14ac:dyDescent="0.25">
      <c r="C835" s="24"/>
      <c r="F835" s="33"/>
      <c r="H835" s="34"/>
      <c r="I835" s="35"/>
      <c r="J835" s="35"/>
      <c r="N835" s="33"/>
      <c r="O835" s="36"/>
    </row>
    <row r="836" spans="3:15" x14ac:dyDescent="0.25">
      <c r="C836" s="24"/>
      <c r="F836" s="33"/>
      <c r="H836" s="34"/>
      <c r="I836" s="35"/>
      <c r="J836" s="35"/>
      <c r="N836" s="33"/>
      <c r="O836" s="36"/>
    </row>
    <row r="837" spans="3:15" x14ac:dyDescent="0.25">
      <c r="C837" s="24"/>
      <c r="F837" s="33"/>
      <c r="H837" s="34"/>
      <c r="I837" s="35"/>
      <c r="J837" s="35"/>
      <c r="N837" s="33"/>
      <c r="O837" s="36"/>
    </row>
    <row r="838" spans="3:15" x14ac:dyDescent="0.25">
      <c r="C838" s="24"/>
      <c r="F838" s="33"/>
      <c r="H838" s="34"/>
      <c r="I838" s="35"/>
      <c r="J838" s="35"/>
      <c r="N838" s="33"/>
      <c r="O838" s="36"/>
    </row>
    <row r="839" spans="3:15" x14ac:dyDescent="0.25">
      <c r="C839" s="24"/>
      <c r="F839" s="33"/>
      <c r="H839" s="34"/>
      <c r="I839" s="35"/>
      <c r="J839" s="35"/>
      <c r="N839" s="33"/>
      <c r="O839" s="36"/>
    </row>
    <row r="840" spans="3:15" x14ac:dyDescent="0.25">
      <c r="C840" s="24"/>
      <c r="F840" s="33"/>
      <c r="H840" s="34"/>
      <c r="I840" s="35"/>
      <c r="J840" s="35"/>
      <c r="N840" s="33"/>
      <c r="O840" s="36"/>
    </row>
    <row r="841" spans="3:15" x14ac:dyDescent="0.25">
      <c r="C841" s="24"/>
      <c r="F841" s="33"/>
      <c r="H841" s="34"/>
      <c r="I841" s="35"/>
      <c r="J841" s="35"/>
      <c r="N841" s="33"/>
      <c r="O841" s="36"/>
    </row>
    <row r="842" spans="3:15" x14ac:dyDescent="0.25">
      <c r="C842" s="24"/>
      <c r="F842" s="33"/>
      <c r="H842" s="34"/>
      <c r="I842" s="35"/>
      <c r="J842" s="35"/>
      <c r="N842" s="33"/>
      <c r="O842" s="36"/>
    </row>
    <row r="843" spans="3:15" x14ac:dyDescent="0.25">
      <c r="C843" s="24"/>
      <c r="F843" s="33"/>
      <c r="H843" s="34"/>
      <c r="I843" s="35"/>
      <c r="J843" s="35"/>
      <c r="N843" s="33"/>
      <c r="O843" s="36"/>
    </row>
    <row r="844" spans="3:15" x14ac:dyDescent="0.25">
      <c r="C844" s="24"/>
      <c r="F844" s="33"/>
      <c r="H844" s="34"/>
      <c r="I844" s="35"/>
      <c r="J844" s="35"/>
      <c r="N844" s="33"/>
      <c r="O844" s="36"/>
    </row>
    <row r="845" spans="3:15" x14ac:dyDescent="0.25">
      <c r="C845" s="24"/>
      <c r="F845" s="33"/>
      <c r="H845" s="34"/>
      <c r="I845" s="35"/>
      <c r="J845" s="35"/>
      <c r="N845" s="33"/>
      <c r="O845" s="36"/>
    </row>
    <row r="846" spans="3:15" x14ac:dyDescent="0.25">
      <c r="C846" s="24"/>
      <c r="F846" s="33"/>
      <c r="H846" s="34"/>
      <c r="I846" s="35"/>
      <c r="J846" s="35"/>
      <c r="N846" s="33"/>
      <c r="O846" s="36"/>
    </row>
    <row r="847" spans="3:15" x14ac:dyDescent="0.25">
      <c r="C847" s="24"/>
      <c r="F847" s="33"/>
      <c r="H847" s="34"/>
      <c r="I847" s="35"/>
      <c r="J847" s="35"/>
      <c r="N847" s="33"/>
      <c r="O847" s="36"/>
    </row>
    <row r="848" spans="3:15" x14ac:dyDescent="0.25">
      <c r="C848" s="24"/>
      <c r="F848" s="33"/>
      <c r="H848" s="34"/>
      <c r="I848" s="35"/>
      <c r="J848" s="35"/>
      <c r="N848" s="33"/>
      <c r="O848" s="36"/>
    </row>
    <row r="849" spans="3:15" x14ac:dyDescent="0.25">
      <c r="C849" s="24"/>
      <c r="F849" s="33"/>
      <c r="H849" s="34"/>
      <c r="I849" s="35"/>
      <c r="J849" s="35"/>
      <c r="N849" s="33"/>
      <c r="O849" s="36"/>
    </row>
    <row r="850" spans="3:15" x14ac:dyDescent="0.25">
      <c r="C850" s="24"/>
      <c r="F850" s="33"/>
      <c r="H850" s="34"/>
      <c r="I850" s="35"/>
      <c r="J850" s="35"/>
      <c r="N850" s="33"/>
      <c r="O850" s="36"/>
    </row>
    <row r="851" spans="3:15" x14ac:dyDescent="0.25">
      <c r="C851" s="24"/>
      <c r="F851" s="33"/>
      <c r="H851" s="34"/>
      <c r="I851" s="35"/>
      <c r="J851" s="35"/>
      <c r="N851" s="33"/>
      <c r="O851" s="36"/>
    </row>
    <row r="852" spans="3:15" x14ac:dyDescent="0.25">
      <c r="C852" s="24"/>
      <c r="F852" s="33"/>
      <c r="H852" s="34"/>
      <c r="I852" s="35"/>
      <c r="J852" s="35"/>
      <c r="N852" s="33"/>
      <c r="O852" s="36"/>
    </row>
    <row r="853" spans="3:15" x14ac:dyDescent="0.25">
      <c r="C853" s="24"/>
      <c r="F853" s="33"/>
      <c r="H853" s="34"/>
      <c r="I853" s="35"/>
      <c r="J853" s="35"/>
      <c r="N853" s="33"/>
      <c r="O853" s="36"/>
    </row>
    <row r="854" spans="3:15" x14ac:dyDescent="0.25">
      <c r="C854" s="24"/>
      <c r="F854" s="33"/>
      <c r="H854" s="34"/>
      <c r="I854" s="35"/>
      <c r="J854" s="35"/>
      <c r="N854" s="33"/>
      <c r="O854" s="36"/>
    </row>
    <row r="855" spans="3:15" x14ac:dyDescent="0.25">
      <c r="C855" s="24"/>
      <c r="F855" s="33"/>
      <c r="H855" s="34"/>
      <c r="I855" s="35"/>
      <c r="J855" s="35"/>
      <c r="N855" s="33"/>
      <c r="O855" s="36"/>
    </row>
    <row r="856" spans="3:15" x14ac:dyDescent="0.25">
      <c r="C856" s="24"/>
      <c r="F856" s="33"/>
      <c r="H856" s="34"/>
      <c r="I856" s="35"/>
      <c r="J856" s="35"/>
      <c r="N856" s="33"/>
      <c r="O856" s="36"/>
    </row>
    <row r="857" spans="3:15" x14ac:dyDescent="0.25">
      <c r="C857" s="24"/>
      <c r="F857" s="33"/>
      <c r="H857" s="34"/>
      <c r="I857" s="35"/>
      <c r="J857" s="35"/>
      <c r="N857" s="33"/>
      <c r="O857" s="36"/>
    </row>
    <row r="858" spans="3:15" x14ac:dyDescent="0.25">
      <c r="C858" s="24"/>
      <c r="F858" s="33"/>
      <c r="H858" s="34"/>
      <c r="I858" s="35"/>
      <c r="J858" s="35"/>
      <c r="N858" s="33"/>
      <c r="O858" s="36"/>
    </row>
    <row r="859" spans="3:15" x14ac:dyDescent="0.25">
      <c r="C859" s="24"/>
      <c r="F859" s="33"/>
      <c r="H859" s="34"/>
      <c r="I859" s="35"/>
      <c r="J859" s="35"/>
      <c r="N859" s="33"/>
      <c r="O859" s="36"/>
    </row>
    <row r="860" spans="3:15" x14ac:dyDescent="0.25">
      <c r="C860" s="24"/>
      <c r="F860" s="33"/>
      <c r="H860" s="34"/>
      <c r="I860" s="35"/>
      <c r="J860" s="35"/>
      <c r="N860" s="33"/>
      <c r="O860" s="36"/>
    </row>
    <row r="861" spans="3:15" x14ac:dyDescent="0.25">
      <c r="C861" s="24"/>
      <c r="F861" s="33"/>
      <c r="H861" s="34"/>
      <c r="I861" s="35"/>
      <c r="J861" s="35"/>
      <c r="N861" s="33"/>
      <c r="O861" s="36"/>
    </row>
    <row r="862" spans="3:15" x14ac:dyDescent="0.25">
      <c r="C862" s="24"/>
      <c r="F862" s="33"/>
      <c r="H862" s="34"/>
      <c r="I862" s="35"/>
      <c r="J862" s="35"/>
      <c r="N862" s="33"/>
      <c r="O862" s="36"/>
    </row>
    <row r="863" spans="3:15" x14ac:dyDescent="0.25">
      <c r="C863" s="24"/>
      <c r="F863" s="33"/>
      <c r="H863" s="34"/>
      <c r="I863" s="35"/>
      <c r="J863" s="35"/>
      <c r="N863" s="33"/>
      <c r="O863" s="36"/>
    </row>
    <row r="864" spans="3:15" x14ac:dyDescent="0.25">
      <c r="C864" s="24"/>
      <c r="F864" s="33"/>
      <c r="H864" s="34"/>
      <c r="I864" s="35"/>
      <c r="J864" s="35"/>
      <c r="N864" s="33"/>
      <c r="O864" s="36"/>
    </row>
    <row r="865" spans="3:15" x14ac:dyDescent="0.25">
      <c r="C865" s="24"/>
      <c r="F865" s="33"/>
      <c r="H865" s="34"/>
      <c r="I865" s="35"/>
      <c r="J865" s="35"/>
      <c r="N865" s="33"/>
      <c r="O865" s="36"/>
    </row>
    <row r="866" spans="3:15" x14ac:dyDescent="0.25">
      <c r="C866" s="24"/>
      <c r="F866" s="33"/>
      <c r="H866" s="34"/>
      <c r="I866" s="35"/>
      <c r="J866" s="35"/>
      <c r="N866" s="33"/>
      <c r="O866" s="36"/>
    </row>
    <row r="867" spans="3:15" x14ac:dyDescent="0.25">
      <c r="C867" s="24"/>
      <c r="F867" s="33"/>
      <c r="H867" s="34"/>
      <c r="I867" s="35"/>
      <c r="J867" s="35"/>
      <c r="N867" s="33"/>
      <c r="O867" s="36"/>
    </row>
    <row r="868" spans="3:15" x14ac:dyDescent="0.25">
      <c r="C868" s="24"/>
      <c r="F868" s="33"/>
      <c r="H868" s="34"/>
      <c r="I868" s="35"/>
      <c r="J868" s="35"/>
      <c r="N868" s="33"/>
      <c r="O868" s="36"/>
    </row>
    <row r="869" spans="3:15" x14ac:dyDescent="0.25">
      <c r="C869" s="24"/>
      <c r="F869" s="33"/>
      <c r="H869" s="34"/>
      <c r="I869" s="35"/>
      <c r="J869" s="35"/>
      <c r="N869" s="33"/>
      <c r="O869" s="36"/>
    </row>
    <row r="870" spans="3:15" x14ac:dyDescent="0.25">
      <c r="C870" s="24"/>
      <c r="F870" s="33"/>
      <c r="H870" s="34"/>
      <c r="I870" s="35"/>
      <c r="J870" s="35"/>
      <c r="N870" s="33"/>
      <c r="O870" s="36"/>
    </row>
    <row r="871" spans="3:15" x14ac:dyDescent="0.25">
      <c r="C871" s="24"/>
      <c r="F871" s="33"/>
      <c r="H871" s="34"/>
      <c r="I871" s="35"/>
      <c r="J871" s="35"/>
      <c r="N871" s="33"/>
      <c r="O871" s="36"/>
    </row>
    <row r="872" spans="3:15" x14ac:dyDescent="0.25">
      <c r="C872" s="24"/>
      <c r="F872" s="33"/>
      <c r="H872" s="34"/>
      <c r="I872" s="35"/>
      <c r="J872" s="35"/>
      <c r="N872" s="33"/>
      <c r="O872" s="36"/>
    </row>
    <row r="873" spans="3:15" x14ac:dyDescent="0.25">
      <c r="C873" s="24"/>
      <c r="F873" s="33"/>
      <c r="H873" s="34"/>
      <c r="I873" s="35"/>
      <c r="J873" s="35"/>
      <c r="N873" s="33"/>
      <c r="O873" s="36"/>
    </row>
    <row r="874" spans="3:15" x14ac:dyDescent="0.25">
      <c r="C874" s="24"/>
      <c r="F874" s="33"/>
      <c r="H874" s="34"/>
      <c r="I874" s="35"/>
      <c r="J874" s="35"/>
      <c r="N874" s="33"/>
      <c r="O874" s="36"/>
    </row>
    <row r="875" spans="3:15" x14ac:dyDescent="0.25">
      <c r="C875" s="24"/>
      <c r="F875" s="33"/>
      <c r="H875" s="34"/>
      <c r="I875" s="35"/>
      <c r="J875" s="35"/>
      <c r="N875" s="33"/>
      <c r="O875" s="36"/>
    </row>
    <row r="876" spans="3:15" x14ac:dyDescent="0.25">
      <c r="C876" s="24"/>
      <c r="F876" s="33"/>
      <c r="H876" s="34"/>
      <c r="I876" s="35"/>
      <c r="J876" s="35"/>
      <c r="N876" s="33"/>
      <c r="O876" s="36"/>
    </row>
    <row r="877" spans="3:15" x14ac:dyDescent="0.25">
      <c r="C877" s="24"/>
      <c r="F877" s="33"/>
      <c r="H877" s="34"/>
      <c r="I877" s="35"/>
      <c r="J877" s="35"/>
      <c r="N877" s="33"/>
      <c r="O877" s="36"/>
    </row>
    <row r="878" spans="3:15" x14ac:dyDescent="0.25">
      <c r="C878" s="24"/>
      <c r="F878" s="33"/>
      <c r="H878" s="34"/>
      <c r="I878" s="35"/>
      <c r="J878" s="35"/>
      <c r="N878" s="33"/>
      <c r="O878" s="36"/>
    </row>
    <row r="879" spans="3:15" x14ac:dyDescent="0.25">
      <c r="C879" s="24"/>
      <c r="F879" s="33"/>
      <c r="H879" s="34"/>
      <c r="I879" s="35"/>
      <c r="J879" s="35"/>
      <c r="N879" s="33"/>
      <c r="O879" s="36"/>
    </row>
    <row r="880" spans="3:15" x14ac:dyDescent="0.25">
      <c r="C880" s="24"/>
      <c r="F880" s="33"/>
      <c r="H880" s="34"/>
      <c r="I880" s="35"/>
      <c r="J880" s="35"/>
      <c r="N880" s="33"/>
      <c r="O880" s="36"/>
    </row>
    <row r="881" spans="3:15" x14ac:dyDescent="0.25">
      <c r="C881" s="24"/>
      <c r="F881" s="33"/>
      <c r="H881" s="34"/>
      <c r="I881" s="35"/>
      <c r="J881" s="35"/>
      <c r="N881" s="33"/>
      <c r="O881" s="36"/>
    </row>
    <row r="882" spans="3:15" x14ac:dyDescent="0.25">
      <c r="C882" s="24"/>
      <c r="F882" s="33"/>
      <c r="H882" s="34"/>
      <c r="I882" s="35"/>
      <c r="J882" s="35"/>
      <c r="N882" s="33"/>
      <c r="O882" s="36"/>
    </row>
    <row r="883" spans="3:15" x14ac:dyDescent="0.25">
      <c r="C883" s="24"/>
      <c r="F883" s="33"/>
      <c r="H883" s="34"/>
      <c r="I883" s="35"/>
      <c r="J883" s="35"/>
      <c r="N883" s="33"/>
      <c r="O883" s="36"/>
    </row>
    <row r="884" spans="3:15" x14ac:dyDescent="0.25">
      <c r="C884" s="24"/>
      <c r="F884" s="33"/>
      <c r="H884" s="34"/>
      <c r="I884" s="35"/>
      <c r="J884" s="35"/>
      <c r="N884" s="33"/>
      <c r="O884" s="36"/>
    </row>
    <row r="885" spans="3:15" x14ac:dyDescent="0.25">
      <c r="C885" s="24"/>
      <c r="F885" s="33"/>
      <c r="H885" s="34"/>
      <c r="I885" s="35"/>
      <c r="J885" s="35"/>
      <c r="N885" s="33"/>
      <c r="O885" s="36"/>
    </row>
    <row r="886" spans="3:15" x14ac:dyDescent="0.25">
      <c r="C886" s="24"/>
      <c r="F886" s="33"/>
      <c r="H886" s="34"/>
      <c r="I886" s="35"/>
      <c r="J886" s="35"/>
      <c r="N886" s="33"/>
      <c r="O886" s="36"/>
    </row>
    <row r="887" spans="3:15" x14ac:dyDescent="0.25">
      <c r="C887" s="24"/>
      <c r="F887" s="33"/>
      <c r="H887" s="34"/>
      <c r="I887" s="35"/>
      <c r="J887" s="35"/>
      <c r="N887" s="33"/>
      <c r="O887" s="36"/>
    </row>
    <row r="888" spans="3:15" x14ac:dyDescent="0.25">
      <c r="C888" s="24"/>
      <c r="F888" s="33"/>
      <c r="H888" s="34"/>
      <c r="I888" s="35"/>
      <c r="J888" s="35"/>
      <c r="N888" s="33"/>
      <c r="O888" s="36"/>
    </row>
    <row r="889" spans="3:15" x14ac:dyDescent="0.25">
      <c r="C889" s="24"/>
      <c r="F889" s="33"/>
      <c r="H889" s="34"/>
      <c r="I889" s="35"/>
      <c r="J889" s="35"/>
      <c r="N889" s="33"/>
      <c r="O889" s="36"/>
    </row>
    <row r="890" spans="3:15" x14ac:dyDescent="0.25">
      <c r="C890" s="24"/>
      <c r="F890" s="33"/>
      <c r="H890" s="34"/>
      <c r="I890" s="35"/>
      <c r="J890" s="35"/>
      <c r="N890" s="33"/>
      <c r="O890" s="36"/>
    </row>
    <row r="891" spans="3:15" x14ac:dyDescent="0.25">
      <c r="C891" s="24"/>
      <c r="F891" s="33"/>
      <c r="H891" s="34"/>
      <c r="I891" s="35"/>
      <c r="J891" s="35"/>
      <c r="N891" s="33"/>
      <c r="O891" s="36"/>
    </row>
    <row r="892" spans="3:15" x14ac:dyDescent="0.25">
      <c r="C892" s="24"/>
      <c r="F892" s="33"/>
      <c r="H892" s="34"/>
      <c r="I892" s="35"/>
      <c r="J892" s="35"/>
      <c r="N892" s="33"/>
      <c r="O892" s="36"/>
    </row>
    <row r="893" spans="3:15" x14ac:dyDescent="0.25">
      <c r="C893" s="24"/>
      <c r="F893" s="33"/>
      <c r="H893" s="34"/>
      <c r="I893" s="35"/>
      <c r="J893" s="35"/>
      <c r="N893" s="33"/>
      <c r="O893" s="36"/>
    </row>
    <row r="894" spans="3:15" x14ac:dyDescent="0.25">
      <c r="C894" s="24"/>
      <c r="F894" s="33"/>
      <c r="H894" s="34"/>
      <c r="I894" s="35"/>
      <c r="J894" s="35"/>
      <c r="N894" s="33"/>
      <c r="O894" s="36"/>
    </row>
    <row r="895" spans="3:15" x14ac:dyDescent="0.25">
      <c r="C895" s="24"/>
      <c r="F895" s="33"/>
      <c r="H895" s="34"/>
      <c r="I895" s="35"/>
      <c r="J895" s="35"/>
      <c r="N895" s="33"/>
      <c r="O895" s="36"/>
    </row>
    <row r="896" spans="3:15" x14ac:dyDescent="0.25">
      <c r="C896" s="24"/>
      <c r="F896" s="33"/>
      <c r="H896" s="34"/>
      <c r="I896" s="35"/>
      <c r="J896" s="35"/>
      <c r="N896" s="33"/>
      <c r="O896" s="36"/>
    </row>
    <row r="897" spans="3:15" x14ac:dyDescent="0.25">
      <c r="C897" s="24"/>
      <c r="F897" s="33"/>
      <c r="H897" s="34"/>
      <c r="I897" s="35"/>
      <c r="J897" s="35"/>
      <c r="N897" s="33"/>
      <c r="O897" s="36"/>
    </row>
    <row r="898" spans="3:15" x14ac:dyDescent="0.25">
      <c r="C898" s="24"/>
      <c r="F898" s="33"/>
      <c r="H898" s="34"/>
      <c r="I898" s="35"/>
      <c r="J898" s="35"/>
      <c r="N898" s="33"/>
      <c r="O898" s="36"/>
    </row>
    <row r="899" spans="3:15" x14ac:dyDescent="0.25">
      <c r="C899" s="24"/>
      <c r="F899" s="33"/>
      <c r="H899" s="34"/>
      <c r="I899" s="35"/>
      <c r="J899" s="35"/>
      <c r="N899" s="33"/>
      <c r="O899" s="36"/>
    </row>
    <row r="900" spans="3:15" x14ac:dyDescent="0.25">
      <c r="C900" s="24"/>
      <c r="F900" s="33"/>
      <c r="H900" s="34"/>
      <c r="I900" s="35"/>
      <c r="J900" s="35"/>
      <c r="N900" s="33"/>
      <c r="O900" s="36"/>
    </row>
    <row r="901" spans="3:15" x14ac:dyDescent="0.25">
      <c r="C901" s="24"/>
      <c r="F901" s="33"/>
      <c r="H901" s="34"/>
      <c r="I901" s="35"/>
      <c r="J901" s="35"/>
      <c r="N901" s="33"/>
      <c r="O901" s="36"/>
    </row>
    <row r="902" spans="3:15" x14ac:dyDescent="0.25">
      <c r="C902" s="24"/>
      <c r="F902" s="33"/>
      <c r="H902" s="34"/>
      <c r="I902" s="35"/>
      <c r="J902" s="35"/>
      <c r="N902" s="33"/>
      <c r="O902" s="36"/>
    </row>
    <row r="903" spans="3:15" x14ac:dyDescent="0.25">
      <c r="C903" s="24"/>
      <c r="F903" s="33"/>
      <c r="H903" s="34"/>
      <c r="I903" s="35"/>
      <c r="J903" s="35"/>
      <c r="N903" s="33"/>
      <c r="O903" s="36"/>
    </row>
    <row r="904" spans="3:15" x14ac:dyDescent="0.25">
      <c r="C904" s="24"/>
      <c r="F904" s="33"/>
      <c r="H904" s="34"/>
      <c r="I904" s="35"/>
      <c r="J904" s="35"/>
      <c r="N904" s="33"/>
      <c r="O904" s="36"/>
    </row>
    <row r="905" spans="3:15" x14ac:dyDescent="0.25">
      <c r="C905" s="24"/>
      <c r="F905" s="33"/>
      <c r="H905" s="34"/>
      <c r="I905" s="35"/>
      <c r="J905" s="35"/>
      <c r="N905" s="33"/>
      <c r="O905" s="36"/>
    </row>
    <row r="906" spans="3:15" x14ac:dyDescent="0.25">
      <c r="C906" s="24"/>
      <c r="F906" s="33"/>
      <c r="H906" s="34"/>
      <c r="I906" s="35"/>
      <c r="J906" s="35"/>
      <c r="N906" s="33"/>
      <c r="O906" s="36"/>
    </row>
    <row r="907" spans="3:15" x14ac:dyDescent="0.25">
      <c r="C907" s="24"/>
      <c r="F907" s="33"/>
      <c r="H907" s="34"/>
      <c r="I907" s="35"/>
      <c r="J907" s="35"/>
      <c r="N907" s="33"/>
      <c r="O907" s="36"/>
    </row>
    <row r="908" spans="3:15" x14ac:dyDescent="0.25">
      <c r="C908" s="24"/>
      <c r="F908" s="33"/>
      <c r="H908" s="34"/>
      <c r="I908" s="35"/>
      <c r="J908" s="35"/>
      <c r="N908" s="33"/>
      <c r="O908" s="36"/>
    </row>
    <row r="909" spans="3:15" x14ac:dyDescent="0.25">
      <c r="C909" s="24"/>
      <c r="F909" s="33"/>
      <c r="H909" s="34"/>
      <c r="I909" s="35"/>
      <c r="J909" s="35"/>
      <c r="N909" s="33"/>
      <c r="O909" s="36"/>
    </row>
    <row r="910" spans="3:15" x14ac:dyDescent="0.25">
      <c r="C910" s="24"/>
      <c r="F910" s="33"/>
      <c r="H910" s="34"/>
      <c r="I910" s="35"/>
      <c r="J910" s="35"/>
      <c r="N910" s="33"/>
      <c r="O910" s="36"/>
    </row>
    <row r="911" spans="3:15" x14ac:dyDescent="0.25">
      <c r="C911" s="24"/>
      <c r="F911" s="33"/>
      <c r="H911" s="34"/>
      <c r="I911" s="35"/>
      <c r="J911" s="35"/>
      <c r="N911" s="33"/>
      <c r="O911" s="36"/>
    </row>
    <row r="912" spans="3:15" x14ac:dyDescent="0.25">
      <c r="C912" s="24"/>
      <c r="F912" s="33"/>
      <c r="H912" s="34"/>
      <c r="I912" s="35"/>
      <c r="J912" s="35"/>
      <c r="N912" s="33"/>
      <c r="O912" s="36"/>
    </row>
    <row r="913" spans="3:15" x14ac:dyDescent="0.25">
      <c r="C913" s="24"/>
      <c r="F913" s="33"/>
      <c r="H913" s="34"/>
      <c r="I913" s="35"/>
      <c r="J913" s="35"/>
      <c r="N913" s="33"/>
      <c r="O913" s="36"/>
    </row>
    <row r="914" spans="3:15" x14ac:dyDescent="0.25">
      <c r="C914" s="24"/>
      <c r="F914" s="33"/>
      <c r="H914" s="34"/>
      <c r="I914" s="35"/>
      <c r="J914" s="35"/>
      <c r="N914" s="33"/>
      <c r="O914" s="36"/>
    </row>
    <row r="915" spans="3:15" x14ac:dyDescent="0.25">
      <c r="C915" s="24"/>
      <c r="F915" s="33"/>
      <c r="H915" s="34"/>
      <c r="I915" s="35"/>
      <c r="J915" s="35"/>
      <c r="N915" s="33"/>
      <c r="O915" s="36"/>
    </row>
    <row r="916" spans="3:15" x14ac:dyDescent="0.25">
      <c r="C916" s="24"/>
      <c r="F916" s="33"/>
      <c r="H916" s="34"/>
      <c r="I916" s="35"/>
      <c r="J916" s="35"/>
      <c r="N916" s="33"/>
      <c r="O916" s="36"/>
    </row>
    <row r="917" spans="3:15" x14ac:dyDescent="0.25">
      <c r="C917" s="24"/>
      <c r="F917" s="33"/>
      <c r="H917" s="34"/>
      <c r="I917" s="35"/>
      <c r="J917" s="35"/>
      <c r="N917" s="33"/>
      <c r="O917" s="36"/>
    </row>
    <row r="918" spans="3:15" x14ac:dyDescent="0.25">
      <c r="C918" s="24"/>
      <c r="F918" s="33"/>
      <c r="H918" s="34"/>
      <c r="I918" s="35"/>
      <c r="J918" s="35"/>
      <c r="N918" s="33"/>
      <c r="O918" s="36"/>
    </row>
    <row r="919" spans="3:15" x14ac:dyDescent="0.25">
      <c r="C919" s="24"/>
      <c r="F919" s="33"/>
      <c r="H919" s="34"/>
      <c r="I919" s="35"/>
      <c r="J919" s="35"/>
      <c r="N919" s="33"/>
      <c r="O919" s="36"/>
    </row>
    <row r="920" spans="3:15" x14ac:dyDescent="0.25">
      <c r="C920" s="24"/>
      <c r="F920" s="33"/>
      <c r="H920" s="34"/>
      <c r="I920" s="35"/>
      <c r="J920" s="35"/>
      <c r="N920" s="33"/>
      <c r="O920" s="36"/>
    </row>
    <row r="921" spans="3:15" x14ac:dyDescent="0.25">
      <c r="C921" s="24"/>
      <c r="F921" s="33"/>
      <c r="H921" s="34"/>
      <c r="I921" s="35"/>
      <c r="J921" s="35"/>
      <c r="N921" s="33"/>
      <c r="O921" s="36"/>
    </row>
    <row r="922" spans="3:15" x14ac:dyDescent="0.25">
      <c r="C922" s="24"/>
      <c r="F922" s="33"/>
      <c r="H922" s="34"/>
      <c r="I922" s="35"/>
      <c r="J922" s="35"/>
      <c r="N922" s="33"/>
      <c r="O922" s="36"/>
    </row>
    <row r="923" spans="3:15" x14ac:dyDescent="0.25">
      <c r="C923" s="24"/>
      <c r="F923" s="33"/>
      <c r="H923" s="34"/>
      <c r="I923" s="35"/>
      <c r="J923" s="35"/>
      <c r="N923" s="33"/>
      <c r="O923" s="36"/>
    </row>
    <row r="924" spans="3:15" x14ac:dyDescent="0.25">
      <c r="C924" s="24"/>
      <c r="F924" s="33"/>
      <c r="H924" s="34"/>
      <c r="I924" s="35"/>
      <c r="J924" s="35"/>
      <c r="N924" s="33"/>
      <c r="O924" s="36"/>
    </row>
    <row r="925" spans="3:15" x14ac:dyDescent="0.25">
      <c r="C925" s="24"/>
      <c r="F925" s="33"/>
      <c r="H925" s="34"/>
      <c r="I925" s="35"/>
      <c r="J925" s="35"/>
      <c r="N925" s="33"/>
      <c r="O925" s="36"/>
    </row>
    <row r="926" spans="3:15" x14ac:dyDescent="0.25">
      <c r="C926" s="24"/>
      <c r="F926" s="33"/>
      <c r="H926" s="34"/>
      <c r="I926" s="35"/>
      <c r="J926" s="35"/>
      <c r="N926" s="33"/>
      <c r="O926" s="36"/>
    </row>
    <row r="927" spans="3:15" x14ac:dyDescent="0.25">
      <c r="C927" s="24"/>
      <c r="F927" s="33"/>
      <c r="H927" s="34"/>
      <c r="I927" s="35"/>
      <c r="J927" s="35"/>
      <c r="N927" s="33"/>
      <c r="O927" s="36"/>
    </row>
    <row r="928" spans="3:15" x14ac:dyDescent="0.25">
      <c r="C928" s="24"/>
      <c r="F928" s="33"/>
      <c r="H928" s="34"/>
      <c r="I928" s="35"/>
      <c r="J928" s="35"/>
      <c r="N928" s="33"/>
      <c r="O928" s="36"/>
    </row>
    <row r="929" spans="3:15" x14ac:dyDescent="0.25">
      <c r="C929" s="24"/>
      <c r="F929" s="33"/>
      <c r="H929" s="34"/>
      <c r="I929" s="35"/>
      <c r="J929" s="35"/>
      <c r="N929" s="33"/>
      <c r="O929" s="36"/>
    </row>
    <row r="930" spans="3:15" x14ac:dyDescent="0.25">
      <c r="C930" s="24"/>
      <c r="F930" s="33"/>
      <c r="H930" s="34"/>
      <c r="I930" s="35"/>
      <c r="J930" s="35"/>
      <c r="N930" s="33"/>
      <c r="O930" s="36"/>
    </row>
    <row r="931" spans="3:15" x14ac:dyDescent="0.25">
      <c r="C931" s="24"/>
      <c r="F931" s="33"/>
      <c r="H931" s="34"/>
      <c r="I931" s="35"/>
      <c r="J931" s="35"/>
      <c r="N931" s="33"/>
      <c r="O931" s="36"/>
    </row>
    <row r="932" spans="3:15" x14ac:dyDescent="0.25">
      <c r="C932" s="24"/>
      <c r="F932" s="33"/>
      <c r="H932" s="34"/>
      <c r="I932" s="35"/>
      <c r="J932" s="35"/>
      <c r="N932" s="33"/>
      <c r="O932" s="36"/>
    </row>
    <row r="933" spans="3:15" x14ac:dyDescent="0.25">
      <c r="C933" s="24"/>
      <c r="F933" s="33"/>
      <c r="H933" s="34"/>
      <c r="I933" s="35"/>
      <c r="J933" s="35"/>
      <c r="N933" s="33"/>
      <c r="O933" s="36"/>
    </row>
    <row r="934" spans="3:15" x14ac:dyDescent="0.25">
      <c r="C934" s="24"/>
      <c r="F934" s="33"/>
      <c r="H934" s="34"/>
      <c r="I934" s="35"/>
      <c r="J934" s="35"/>
      <c r="N934" s="33"/>
      <c r="O934" s="36"/>
    </row>
    <row r="935" spans="3:15" x14ac:dyDescent="0.25">
      <c r="C935" s="24"/>
      <c r="F935" s="33"/>
      <c r="H935" s="34"/>
      <c r="I935" s="35"/>
      <c r="J935" s="35"/>
      <c r="N935" s="33"/>
      <c r="O935" s="36"/>
    </row>
    <row r="936" spans="3:15" x14ac:dyDescent="0.25">
      <c r="C936" s="24"/>
      <c r="F936" s="33"/>
      <c r="H936" s="34"/>
      <c r="I936" s="35"/>
      <c r="J936" s="35"/>
      <c r="N936" s="33"/>
      <c r="O936" s="36"/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88"/>
  <sheetViews>
    <sheetView topLeftCell="A344" workbookViewId="0">
      <selection activeCell="A366" sqref="A366"/>
    </sheetView>
  </sheetViews>
  <sheetFormatPr defaultRowHeight="15" x14ac:dyDescent="0.25"/>
  <cols>
    <col min="1" max="1" width="19.7109375" bestFit="1" customWidth="1"/>
    <col min="2" max="2" width="17.85546875" bestFit="1" customWidth="1"/>
    <col min="3" max="3" width="17.5703125" style="1" bestFit="1" customWidth="1"/>
    <col min="4" max="4" width="14.42578125" style="1" bestFit="1" customWidth="1"/>
    <col min="5" max="5" width="18.28515625" bestFit="1" customWidth="1"/>
    <col min="6" max="6" width="10.5703125" bestFit="1" customWidth="1"/>
  </cols>
  <sheetData>
    <row r="1" spans="1:6" x14ac:dyDescent="0.25">
      <c r="A1" t="s">
        <v>618</v>
      </c>
      <c r="B1" t="s">
        <v>630</v>
      </c>
      <c r="C1" s="1" t="s">
        <v>631</v>
      </c>
      <c r="D1" s="1" t="s">
        <v>632</v>
      </c>
      <c r="E1" t="s">
        <v>633</v>
      </c>
      <c r="F1" t="s">
        <v>634</v>
      </c>
    </row>
    <row r="2" spans="1:6" x14ac:dyDescent="0.25">
      <c r="A2" t="s">
        <v>411</v>
      </c>
      <c r="B2">
        <v>1</v>
      </c>
      <c r="C2" s="1">
        <v>2154623.92</v>
      </c>
      <c r="D2" s="1">
        <v>2154623.92</v>
      </c>
      <c r="F2" t="s">
        <v>635</v>
      </c>
    </row>
    <row r="3" spans="1:6" x14ac:dyDescent="0.25">
      <c r="A3" t="s">
        <v>411</v>
      </c>
      <c r="B3">
        <v>2</v>
      </c>
      <c r="C3" s="1">
        <v>2154623.92</v>
      </c>
      <c r="F3" t="s">
        <v>636</v>
      </c>
    </row>
    <row r="4" spans="1:6" x14ac:dyDescent="0.25">
      <c r="A4" t="s">
        <v>411</v>
      </c>
      <c r="B4">
        <v>3</v>
      </c>
      <c r="C4" s="1">
        <v>2154623.9300000002</v>
      </c>
      <c r="F4" t="s">
        <v>636</v>
      </c>
    </row>
    <row r="5" spans="1:6" x14ac:dyDescent="0.25">
      <c r="A5" t="s">
        <v>23</v>
      </c>
      <c r="B5">
        <v>1</v>
      </c>
      <c r="C5" s="1">
        <v>531438.4</v>
      </c>
      <c r="F5" t="s">
        <v>636</v>
      </c>
    </row>
    <row r="6" spans="1:6" x14ac:dyDescent="0.25">
      <c r="A6" t="s">
        <v>23</v>
      </c>
      <c r="B6">
        <v>2</v>
      </c>
      <c r="C6" s="1">
        <v>531438.4</v>
      </c>
      <c r="F6" t="s">
        <v>636</v>
      </c>
    </row>
    <row r="7" spans="1:6" x14ac:dyDescent="0.25">
      <c r="A7" t="s">
        <v>23</v>
      </c>
      <c r="B7">
        <v>3</v>
      </c>
      <c r="C7" s="1">
        <v>531438.4</v>
      </c>
      <c r="F7" t="s">
        <v>636</v>
      </c>
    </row>
    <row r="8" spans="1:6" x14ac:dyDescent="0.25">
      <c r="A8" t="s">
        <v>415</v>
      </c>
      <c r="B8">
        <v>1</v>
      </c>
      <c r="C8" s="1">
        <v>2029960.53</v>
      </c>
      <c r="F8" t="s">
        <v>636</v>
      </c>
    </row>
    <row r="9" spans="1:6" x14ac:dyDescent="0.25">
      <c r="A9" t="s">
        <v>415</v>
      </c>
      <c r="B9">
        <v>2</v>
      </c>
      <c r="C9" s="1">
        <v>2029960.53</v>
      </c>
      <c r="F9" t="s">
        <v>636</v>
      </c>
    </row>
    <row r="10" spans="1:6" x14ac:dyDescent="0.25">
      <c r="A10" t="s">
        <v>415</v>
      </c>
      <c r="B10">
        <v>3</v>
      </c>
      <c r="C10" s="1">
        <v>2029960.53</v>
      </c>
      <c r="F10" t="s">
        <v>636</v>
      </c>
    </row>
    <row r="11" spans="1:6" x14ac:dyDescent="0.25">
      <c r="A11" t="s">
        <v>418</v>
      </c>
      <c r="B11">
        <v>1</v>
      </c>
      <c r="C11" s="1">
        <v>2154623.92</v>
      </c>
      <c r="F11" t="s">
        <v>636</v>
      </c>
    </row>
    <row r="12" spans="1:6" x14ac:dyDescent="0.25">
      <c r="A12" t="s">
        <v>418</v>
      </c>
      <c r="B12">
        <v>2</v>
      </c>
      <c r="C12" s="1">
        <v>2154623.92</v>
      </c>
      <c r="F12" t="s">
        <v>636</v>
      </c>
    </row>
    <row r="13" spans="1:6" x14ac:dyDescent="0.25">
      <c r="A13" t="s">
        <v>418</v>
      </c>
      <c r="B13">
        <v>3</v>
      </c>
      <c r="C13" s="1">
        <v>2154623.9300000002</v>
      </c>
      <c r="F13" t="s">
        <v>636</v>
      </c>
    </row>
    <row r="14" spans="1:6" x14ac:dyDescent="0.25">
      <c r="A14" t="s">
        <v>423</v>
      </c>
      <c r="B14">
        <v>1</v>
      </c>
      <c r="C14" s="1">
        <v>2174404.67</v>
      </c>
      <c r="F14" t="s">
        <v>636</v>
      </c>
    </row>
    <row r="15" spans="1:6" x14ac:dyDescent="0.25">
      <c r="A15" t="s">
        <v>423</v>
      </c>
      <c r="B15">
        <v>2</v>
      </c>
      <c r="C15" s="1">
        <v>2174404.67</v>
      </c>
      <c r="F15" t="s">
        <v>636</v>
      </c>
    </row>
    <row r="16" spans="1:6" x14ac:dyDescent="0.25">
      <c r="A16" t="s">
        <v>423</v>
      </c>
      <c r="B16">
        <v>3</v>
      </c>
      <c r="C16" s="1">
        <v>2174404.67</v>
      </c>
      <c r="F16" t="s">
        <v>636</v>
      </c>
    </row>
    <row r="17" spans="1:6" x14ac:dyDescent="0.25">
      <c r="A17" t="s">
        <v>426</v>
      </c>
      <c r="B17">
        <v>1</v>
      </c>
      <c r="C17" s="1">
        <v>2154623.94</v>
      </c>
      <c r="D17" s="1">
        <v>2154623.94</v>
      </c>
      <c r="F17" t="s">
        <v>635</v>
      </c>
    </row>
    <row r="18" spans="1:6" x14ac:dyDescent="0.25">
      <c r="A18" t="s">
        <v>426</v>
      </c>
      <c r="B18">
        <v>2</v>
      </c>
      <c r="C18" s="1">
        <v>2154623.9300000002</v>
      </c>
      <c r="D18" s="1">
        <v>2154623.9300000002</v>
      </c>
      <c r="F18" t="s">
        <v>635</v>
      </c>
    </row>
    <row r="19" spans="1:6" x14ac:dyDescent="0.25">
      <c r="A19" t="s">
        <v>426</v>
      </c>
      <c r="B19">
        <v>3</v>
      </c>
      <c r="C19" s="1">
        <v>2154623.9300000002</v>
      </c>
      <c r="F19" t="s">
        <v>636</v>
      </c>
    </row>
    <row r="20" spans="1:6" x14ac:dyDescent="0.25">
      <c r="A20" t="s">
        <v>429</v>
      </c>
      <c r="B20">
        <v>1</v>
      </c>
      <c r="C20" s="1">
        <v>2165291.23</v>
      </c>
      <c r="D20" s="1">
        <v>2165291.23</v>
      </c>
      <c r="F20" t="s">
        <v>635</v>
      </c>
    </row>
    <row r="21" spans="1:6" x14ac:dyDescent="0.25">
      <c r="A21" t="s">
        <v>429</v>
      </c>
      <c r="B21">
        <v>2</v>
      </c>
      <c r="C21" s="1">
        <v>2165291.23</v>
      </c>
      <c r="D21" s="1">
        <v>2165291.23</v>
      </c>
      <c r="F21" t="s">
        <v>635</v>
      </c>
    </row>
    <row r="22" spans="1:6" x14ac:dyDescent="0.25">
      <c r="A22" t="s">
        <v>429</v>
      </c>
      <c r="B22">
        <v>3</v>
      </c>
      <c r="C22" s="1">
        <v>2165291.23</v>
      </c>
      <c r="F22" t="s">
        <v>636</v>
      </c>
    </row>
    <row r="23" spans="1:6" x14ac:dyDescent="0.25">
      <c r="A23" t="s">
        <v>434</v>
      </c>
      <c r="B23">
        <v>1</v>
      </c>
      <c r="C23" s="1">
        <v>2154623.9300000002</v>
      </c>
      <c r="F23" t="s">
        <v>636</v>
      </c>
    </row>
    <row r="24" spans="1:6" x14ac:dyDescent="0.25">
      <c r="A24" t="s">
        <v>434</v>
      </c>
      <c r="B24">
        <v>2</v>
      </c>
      <c r="C24" s="1">
        <v>2154623.9300000002</v>
      </c>
      <c r="F24" t="s">
        <v>636</v>
      </c>
    </row>
    <row r="25" spans="1:6" x14ac:dyDescent="0.25">
      <c r="A25" t="s">
        <v>434</v>
      </c>
      <c r="B25">
        <v>3</v>
      </c>
      <c r="C25" s="1">
        <v>2154623.9300000002</v>
      </c>
      <c r="F25" t="s">
        <v>636</v>
      </c>
    </row>
    <row r="26" spans="1:6" x14ac:dyDescent="0.25">
      <c r="A26" t="s">
        <v>439</v>
      </c>
      <c r="B26">
        <v>1</v>
      </c>
      <c r="C26" s="1">
        <v>2154623.9300000002</v>
      </c>
      <c r="D26" s="1">
        <v>2154623.9300000002</v>
      </c>
      <c r="F26" t="s">
        <v>635</v>
      </c>
    </row>
    <row r="27" spans="1:6" x14ac:dyDescent="0.25">
      <c r="A27" t="s">
        <v>439</v>
      </c>
      <c r="B27">
        <v>2</v>
      </c>
      <c r="C27" s="1">
        <v>2154623.9300000002</v>
      </c>
      <c r="F27" t="s">
        <v>636</v>
      </c>
    </row>
    <row r="28" spans="1:6" x14ac:dyDescent="0.25">
      <c r="A28" t="s">
        <v>439</v>
      </c>
      <c r="B28">
        <v>3</v>
      </c>
      <c r="C28" s="1">
        <v>2154623.94</v>
      </c>
      <c r="F28" t="s">
        <v>636</v>
      </c>
    </row>
    <row r="29" spans="1:6" x14ac:dyDescent="0.25">
      <c r="A29" t="s">
        <v>442</v>
      </c>
      <c r="B29">
        <v>1</v>
      </c>
      <c r="C29" s="1">
        <v>2154623.92</v>
      </c>
      <c r="D29" s="1">
        <v>2154623.92</v>
      </c>
      <c r="F29" t="s">
        <v>635</v>
      </c>
    </row>
    <row r="30" spans="1:6" x14ac:dyDescent="0.25">
      <c r="A30" t="s">
        <v>442</v>
      </c>
      <c r="B30">
        <v>2</v>
      </c>
      <c r="C30" s="1">
        <v>2154623.92</v>
      </c>
      <c r="D30" s="1">
        <v>2154623.92</v>
      </c>
      <c r="F30" t="s">
        <v>635</v>
      </c>
    </row>
    <row r="31" spans="1:6" x14ac:dyDescent="0.25">
      <c r="A31" t="s">
        <v>442</v>
      </c>
      <c r="B31">
        <v>3</v>
      </c>
      <c r="C31" s="1">
        <v>2154623.9300000002</v>
      </c>
      <c r="F31" t="s">
        <v>636</v>
      </c>
    </row>
    <row r="32" spans="1:6" x14ac:dyDescent="0.25">
      <c r="A32" t="s">
        <v>168</v>
      </c>
      <c r="B32">
        <v>1</v>
      </c>
      <c r="C32" s="1">
        <v>2154623.9300000002</v>
      </c>
      <c r="F32" t="s">
        <v>636</v>
      </c>
    </row>
    <row r="33" spans="1:6" x14ac:dyDescent="0.25">
      <c r="A33" t="s">
        <v>168</v>
      </c>
      <c r="B33">
        <v>2</v>
      </c>
      <c r="C33" s="1">
        <v>2154623.9300000002</v>
      </c>
      <c r="F33" t="s">
        <v>636</v>
      </c>
    </row>
    <row r="34" spans="1:6" x14ac:dyDescent="0.25">
      <c r="A34" t="s">
        <v>168</v>
      </c>
      <c r="B34">
        <v>3</v>
      </c>
      <c r="C34" s="1">
        <v>2154623.92</v>
      </c>
      <c r="F34" t="s">
        <v>636</v>
      </c>
    </row>
    <row r="35" spans="1:6" x14ac:dyDescent="0.25">
      <c r="A35" t="s">
        <v>446</v>
      </c>
      <c r="B35">
        <v>1</v>
      </c>
      <c r="C35" s="1">
        <v>700025.69</v>
      </c>
      <c r="D35" s="1">
        <v>700025.69</v>
      </c>
      <c r="F35" t="s">
        <v>635</v>
      </c>
    </row>
    <row r="36" spans="1:6" x14ac:dyDescent="0.25">
      <c r="A36" t="s">
        <v>446</v>
      </c>
      <c r="B36">
        <v>2</v>
      </c>
      <c r="C36" s="1">
        <v>700025.67</v>
      </c>
      <c r="F36" t="s">
        <v>636</v>
      </c>
    </row>
    <row r="37" spans="1:6" x14ac:dyDescent="0.25">
      <c r="A37" t="s">
        <v>446</v>
      </c>
      <c r="B37">
        <v>3</v>
      </c>
      <c r="C37" s="1">
        <v>700025.67</v>
      </c>
      <c r="F37" t="s">
        <v>636</v>
      </c>
    </row>
    <row r="38" spans="1:6" x14ac:dyDescent="0.25">
      <c r="A38" t="s">
        <v>446</v>
      </c>
      <c r="B38">
        <v>4</v>
      </c>
      <c r="C38" s="1">
        <v>700025.67</v>
      </c>
      <c r="F38" t="s">
        <v>636</v>
      </c>
    </row>
    <row r="39" spans="1:6" x14ac:dyDescent="0.25">
      <c r="A39" t="s">
        <v>171</v>
      </c>
      <c r="B39">
        <v>1</v>
      </c>
      <c r="C39" s="1">
        <v>2109735.9300000002</v>
      </c>
      <c r="D39" s="1">
        <v>2109735.9300000002</v>
      </c>
      <c r="F39" t="s">
        <v>635</v>
      </c>
    </row>
    <row r="40" spans="1:6" x14ac:dyDescent="0.25">
      <c r="A40" t="s">
        <v>171</v>
      </c>
      <c r="B40">
        <v>2</v>
      </c>
      <c r="C40" s="1">
        <v>2109735.9300000002</v>
      </c>
      <c r="D40" s="1">
        <v>2109735.9300000002</v>
      </c>
      <c r="F40" t="s">
        <v>635</v>
      </c>
    </row>
    <row r="41" spans="1:6" x14ac:dyDescent="0.25">
      <c r="A41" t="s">
        <v>171</v>
      </c>
      <c r="B41">
        <v>3</v>
      </c>
      <c r="C41" s="1">
        <v>2109735.9300000002</v>
      </c>
      <c r="F41" t="s">
        <v>636</v>
      </c>
    </row>
    <row r="42" spans="1:6" x14ac:dyDescent="0.25">
      <c r="A42" t="s">
        <v>449</v>
      </c>
      <c r="B42">
        <v>1</v>
      </c>
      <c r="C42" s="1">
        <v>1131716.1499999999</v>
      </c>
      <c r="D42" s="1">
        <v>1131716.1499999999</v>
      </c>
      <c r="F42" t="s">
        <v>635</v>
      </c>
    </row>
    <row r="43" spans="1:6" x14ac:dyDescent="0.25">
      <c r="A43" t="s">
        <v>449</v>
      </c>
      <c r="B43">
        <v>2</v>
      </c>
      <c r="C43" s="1">
        <v>1131716.1399999999</v>
      </c>
      <c r="F43" t="s">
        <v>636</v>
      </c>
    </row>
    <row r="44" spans="1:6" x14ac:dyDescent="0.25">
      <c r="A44" t="s">
        <v>449</v>
      </c>
      <c r="B44">
        <v>3</v>
      </c>
      <c r="C44" s="1">
        <v>1131716.1399999999</v>
      </c>
      <c r="F44" t="s">
        <v>636</v>
      </c>
    </row>
    <row r="45" spans="1:6" x14ac:dyDescent="0.25">
      <c r="A45" t="s">
        <v>449</v>
      </c>
      <c r="B45">
        <v>4</v>
      </c>
      <c r="C45" s="1">
        <v>1131716.1399999999</v>
      </c>
      <c r="F45" t="s">
        <v>636</v>
      </c>
    </row>
    <row r="46" spans="1:6" x14ac:dyDescent="0.25">
      <c r="A46" t="s">
        <v>176</v>
      </c>
      <c r="B46">
        <v>1</v>
      </c>
      <c r="C46" s="1">
        <v>2132179.92</v>
      </c>
      <c r="D46" s="1">
        <v>2132179.92</v>
      </c>
      <c r="F46" t="s">
        <v>635</v>
      </c>
    </row>
    <row r="47" spans="1:6" x14ac:dyDescent="0.25">
      <c r="A47" t="s">
        <v>176</v>
      </c>
      <c r="B47">
        <v>2</v>
      </c>
      <c r="C47" s="1">
        <v>2132179.92</v>
      </c>
      <c r="D47" s="1">
        <v>2132179.92</v>
      </c>
      <c r="F47" t="s">
        <v>635</v>
      </c>
    </row>
    <row r="48" spans="1:6" x14ac:dyDescent="0.25">
      <c r="A48" t="s">
        <v>176</v>
      </c>
      <c r="B48">
        <v>3</v>
      </c>
      <c r="C48" s="1">
        <v>2132179.94</v>
      </c>
      <c r="F48" t="s">
        <v>636</v>
      </c>
    </row>
    <row r="49" spans="1:6" x14ac:dyDescent="0.25">
      <c r="A49" t="s">
        <v>454</v>
      </c>
      <c r="B49">
        <v>1</v>
      </c>
      <c r="C49" s="1">
        <v>3251410.57</v>
      </c>
      <c r="D49" s="1">
        <v>3251410.57</v>
      </c>
      <c r="F49" t="s">
        <v>635</v>
      </c>
    </row>
    <row r="50" spans="1:6" x14ac:dyDescent="0.25">
      <c r="A50" t="s">
        <v>454</v>
      </c>
      <c r="B50">
        <v>2</v>
      </c>
      <c r="C50" s="1">
        <v>3251410.56</v>
      </c>
      <c r="D50" s="1">
        <v>3251410.56</v>
      </c>
      <c r="F50" t="s">
        <v>635</v>
      </c>
    </row>
    <row r="51" spans="1:6" x14ac:dyDescent="0.25">
      <c r="A51" t="s">
        <v>454</v>
      </c>
      <c r="B51">
        <v>3</v>
      </c>
      <c r="C51" s="1">
        <v>3251410.56</v>
      </c>
      <c r="D51" s="1">
        <v>3251410.56</v>
      </c>
      <c r="F51" t="s">
        <v>635</v>
      </c>
    </row>
    <row r="52" spans="1:6" x14ac:dyDescent="0.25">
      <c r="A52" t="s">
        <v>28</v>
      </c>
      <c r="B52">
        <v>1</v>
      </c>
      <c r="C52" s="1">
        <v>104795.08</v>
      </c>
      <c r="D52" s="1">
        <v>104795.08</v>
      </c>
      <c r="F52" t="s">
        <v>635</v>
      </c>
    </row>
    <row r="53" spans="1:6" x14ac:dyDescent="0.25">
      <c r="A53" t="s">
        <v>28</v>
      </c>
      <c r="B53">
        <v>2</v>
      </c>
      <c r="C53" s="1">
        <v>274784.12</v>
      </c>
      <c r="D53" s="1">
        <v>274784.12</v>
      </c>
      <c r="F53" t="s">
        <v>635</v>
      </c>
    </row>
    <row r="54" spans="1:6" x14ac:dyDescent="0.25">
      <c r="A54" t="s">
        <v>28</v>
      </c>
      <c r="B54">
        <v>3</v>
      </c>
      <c r="C54" s="1">
        <v>380532.52</v>
      </c>
      <c r="F54" t="s">
        <v>636</v>
      </c>
    </row>
    <row r="55" spans="1:6" x14ac:dyDescent="0.25">
      <c r="A55" t="s">
        <v>28</v>
      </c>
      <c r="B55">
        <v>4</v>
      </c>
      <c r="C55" s="1">
        <v>182731.35</v>
      </c>
      <c r="D55" s="1">
        <v>182731.35</v>
      </c>
      <c r="F55" t="s">
        <v>635</v>
      </c>
    </row>
    <row r="56" spans="1:6" x14ac:dyDescent="0.25">
      <c r="A56" t="s">
        <v>181</v>
      </c>
      <c r="B56">
        <v>1</v>
      </c>
      <c r="C56" s="1">
        <v>2109735.9300000002</v>
      </c>
      <c r="D56" s="1">
        <v>2109735.9300000002</v>
      </c>
      <c r="F56" t="s">
        <v>635</v>
      </c>
    </row>
    <row r="57" spans="1:6" x14ac:dyDescent="0.25">
      <c r="A57" t="s">
        <v>181</v>
      </c>
      <c r="B57">
        <v>2</v>
      </c>
      <c r="C57" s="1">
        <v>2109735.9300000002</v>
      </c>
      <c r="D57" s="1">
        <v>2109735.9300000002</v>
      </c>
      <c r="F57" t="s">
        <v>635</v>
      </c>
    </row>
    <row r="58" spans="1:6" x14ac:dyDescent="0.25">
      <c r="A58" t="s">
        <v>181</v>
      </c>
      <c r="B58">
        <v>3</v>
      </c>
      <c r="C58" s="1">
        <v>2109735.9300000002</v>
      </c>
      <c r="F58" t="s">
        <v>636</v>
      </c>
    </row>
    <row r="59" spans="1:6" x14ac:dyDescent="0.25">
      <c r="A59" t="s">
        <v>457</v>
      </c>
      <c r="B59">
        <v>1</v>
      </c>
      <c r="C59" s="1">
        <v>1085432.75</v>
      </c>
      <c r="F59" t="s">
        <v>636</v>
      </c>
    </row>
    <row r="60" spans="1:6" x14ac:dyDescent="0.25">
      <c r="A60" t="s">
        <v>457</v>
      </c>
      <c r="B60">
        <v>2</v>
      </c>
      <c r="C60" s="1">
        <v>1085432.75</v>
      </c>
      <c r="F60" t="s">
        <v>636</v>
      </c>
    </row>
    <row r="61" spans="1:6" x14ac:dyDescent="0.25">
      <c r="A61" t="s">
        <v>457</v>
      </c>
      <c r="B61">
        <v>3</v>
      </c>
      <c r="C61" s="1">
        <v>1085432.75</v>
      </c>
      <c r="F61" t="s">
        <v>636</v>
      </c>
    </row>
    <row r="62" spans="1:6" x14ac:dyDescent="0.25">
      <c r="A62" t="s">
        <v>457</v>
      </c>
      <c r="B62">
        <v>4</v>
      </c>
      <c r="C62" s="1">
        <v>1085432.75</v>
      </c>
      <c r="F62" t="s">
        <v>636</v>
      </c>
    </row>
    <row r="63" spans="1:6" x14ac:dyDescent="0.25">
      <c r="A63" t="s">
        <v>186</v>
      </c>
      <c r="B63">
        <v>1</v>
      </c>
      <c r="C63" s="1">
        <v>2154623.9300000002</v>
      </c>
      <c r="F63" t="s">
        <v>636</v>
      </c>
    </row>
    <row r="64" spans="1:6" x14ac:dyDescent="0.25">
      <c r="A64" t="s">
        <v>186</v>
      </c>
      <c r="B64">
        <v>2</v>
      </c>
      <c r="C64" s="1">
        <v>2154623.9300000002</v>
      </c>
      <c r="F64" t="s">
        <v>636</v>
      </c>
    </row>
    <row r="65" spans="1:6" x14ac:dyDescent="0.25">
      <c r="A65" t="s">
        <v>186</v>
      </c>
      <c r="B65">
        <v>3</v>
      </c>
      <c r="C65" s="1">
        <v>2154623.92</v>
      </c>
      <c r="F65" t="s">
        <v>636</v>
      </c>
    </row>
    <row r="66" spans="1:6" x14ac:dyDescent="0.25">
      <c r="A66" t="s">
        <v>462</v>
      </c>
      <c r="B66">
        <v>1</v>
      </c>
      <c r="C66" s="1">
        <v>2154623.9300000002</v>
      </c>
      <c r="F66" t="s">
        <v>636</v>
      </c>
    </row>
    <row r="67" spans="1:6" x14ac:dyDescent="0.25">
      <c r="A67" t="s">
        <v>462</v>
      </c>
      <c r="B67">
        <v>2</v>
      </c>
      <c r="C67" s="1">
        <v>2154623.92</v>
      </c>
      <c r="F67" t="s">
        <v>636</v>
      </c>
    </row>
    <row r="68" spans="1:6" x14ac:dyDescent="0.25">
      <c r="A68" t="s">
        <v>462</v>
      </c>
      <c r="B68">
        <v>3</v>
      </c>
      <c r="C68" s="1">
        <v>2154623.92</v>
      </c>
      <c r="F68" t="s">
        <v>636</v>
      </c>
    </row>
    <row r="69" spans="1:6" x14ac:dyDescent="0.25">
      <c r="A69" t="s">
        <v>33</v>
      </c>
      <c r="B69">
        <v>1</v>
      </c>
      <c r="C69" s="1">
        <v>887394.72</v>
      </c>
      <c r="F69" t="s">
        <v>636</v>
      </c>
    </row>
    <row r="70" spans="1:6" x14ac:dyDescent="0.25">
      <c r="A70" t="s">
        <v>33</v>
      </c>
      <c r="B70">
        <v>2</v>
      </c>
      <c r="C70" s="1">
        <v>887394.76</v>
      </c>
      <c r="F70" t="s">
        <v>636</v>
      </c>
    </row>
    <row r="71" spans="1:6" x14ac:dyDescent="0.25">
      <c r="A71" t="s">
        <v>33</v>
      </c>
      <c r="B71">
        <v>3</v>
      </c>
      <c r="C71" s="1">
        <v>887394.76</v>
      </c>
      <c r="F71" t="s">
        <v>636</v>
      </c>
    </row>
    <row r="72" spans="1:6" x14ac:dyDescent="0.25">
      <c r="A72" t="s">
        <v>33</v>
      </c>
      <c r="B72">
        <v>4</v>
      </c>
      <c r="C72" s="1">
        <v>887394.76</v>
      </c>
      <c r="F72" t="s">
        <v>636</v>
      </c>
    </row>
    <row r="73" spans="1:6" x14ac:dyDescent="0.25">
      <c r="A73" t="s">
        <v>33</v>
      </c>
      <c r="B73">
        <v>5</v>
      </c>
      <c r="C73" s="1">
        <v>887394.76</v>
      </c>
      <c r="F73" t="s">
        <v>636</v>
      </c>
    </row>
    <row r="74" spans="1:6" x14ac:dyDescent="0.25">
      <c r="A74" t="s">
        <v>33</v>
      </c>
      <c r="B74">
        <v>6</v>
      </c>
      <c r="C74" s="1">
        <v>887394.76</v>
      </c>
      <c r="F74" t="s">
        <v>636</v>
      </c>
    </row>
    <row r="75" spans="1:6" x14ac:dyDescent="0.25">
      <c r="A75" t="s">
        <v>33</v>
      </c>
      <c r="B75">
        <v>7</v>
      </c>
      <c r="C75" s="1">
        <v>887394.76</v>
      </c>
      <c r="F75" t="s">
        <v>636</v>
      </c>
    </row>
    <row r="76" spans="1:6" x14ac:dyDescent="0.25">
      <c r="A76" t="s">
        <v>33</v>
      </c>
      <c r="B76">
        <v>8</v>
      </c>
      <c r="C76" s="1">
        <v>887394.76</v>
      </c>
      <c r="F76" t="s">
        <v>636</v>
      </c>
    </row>
    <row r="77" spans="1:6" x14ac:dyDescent="0.25">
      <c r="A77" t="s">
        <v>191</v>
      </c>
      <c r="B77">
        <v>1</v>
      </c>
      <c r="C77" s="1">
        <v>2165291.23</v>
      </c>
      <c r="D77" s="1">
        <v>2165291.23</v>
      </c>
      <c r="F77" t="s">
        <v>635</v>
      </c>
    </row>
    <row r="78" spans="1:6" x14ac:dyDescent="0.25">
      <c r="A78" t="s">
        <v>191</v>
      </c>
      <c r="B78">
        <v>2</v>
      </c>
      <c r="C78" s="1">
        <v>2165291.23</v>
      </c>
      <c r="D78" s="1">
        <v>2165291.23</v>
      </c>
      <c r="F78" t="s">
        <v>635</v>
      </c>
    </row>
    <row r="79" spans="1:6" x14ac:dyDescent="0.25">
      <c r="A79" t="s">
        <v>191</v>
      </c>
      <c r="B79">
        <v>3</v>
      </c>
      <c r="C79" s="1">
        <v>2165291.23</v>
      </c>
      <c r="D79" s="1">
        <v>2165291.23</v>
      </c>
      <c r="F79" t="s">
        <v>635</v>
      </c>
    </row>
    <row r="80" spans="1:6" x14ac:dyDescent="0.25">
      <c r="A80" t="s">
        <v>467</v>
      </c>
      <c r="B80">
        <v>1</v>
      </c>
      <c r="C80" s="1">
        <v>2154623.92</v>
      </c>
      <c r="F80" t="s">
        <v>636</v>
      </c>
    </row>
    <row r="81" spans="1:6" x14ac:dyDescent="0.25">
      <c r="A81" t="s">
        <v>467</v>
      </c>
      <c r="B81">
        <v>2</v>
      </c>
      <c r="C81" s="1">
        <v>2154623.92</v>
      </c>
      <c r="F81" t="s">
        <v>636</v>
      </c>
    </row>
    <row r="82" spans="1:6" x14ac:dyDescent="0.25">
      <c r="A82" t="s">
        <v>467</v>
      </c>
      <c r="B82">
        <v>3</v>
      </c>
      <c r="C82" s="1">
        <v>2154623.9300000002</v>
      </c>
      <c r="F82" t="s">
        <v>636</v>
      </c>
    </row>
    <row r="83" spans="1:6" x14ac:dyDescent="0.25">
      <c r="A83" t="s">
        <v>194</v>
      </c>
      <c r="B83">
        <v>1</v>
      </c>
      <c r="C83" s="1">
        <v>2154623.92</v>
      </c>
      <c r="D83" s="1">
        <v>2154623.92</v>
      </c>
      <c r="F83" t="s">
        <v>635</v>
      </c>
    </row>
    <row r="84" spans="1:6" x14ac:dyDescent="0.25">
      <c r="A84" t="s">
        <v>194</v>
      </c>
      <c r="B84">
        <v>2</v>
      </c>
      <c r="C84" s="1">
        <v>2154623.92</v>
      </c>
      <c r="D84" s="1">
        <v>2154623.92</v>
      </c>
      <c r="F84" t="s">
        <v>635</v>
      </c>
    </row>
    <row r="85" spans="1:6" x14ac:dyDescent="0.25">
      <c r="A85" t="s">
        <v>194</v>
      </c>
      <c r="B85">
        <v>3</v>
      </c>
      <c r="C85" s="1">
        <v>2154623.9300000002</v>
      </c>
      <c r="F85" t="s">
        <v>636</v>
      </c>
    </row>
    <row r="86" spans="1:6" x14ac:dyDescent="0.25">
      <c r="A86" t="s">
        <v>472</v>
      </c>
      <c r="B86">
        <v>1</v>
      </c>
      <c r="C86" s="1">
        <v>2412211.09</v>
      </c>
      <c r="F86" t="s">
        <v>636</v>
      </c>
    </row>
    <row r="87" spans="1:6" x14ac:dyDescent="0.25">
      <c r="A87" t="s">
        <v>472</v>
      </c>
      <c r="B87">
        <v>2</v>
      </c>
      <c r="C87" s="1">
        <v>2412211.08</v>
      </c>
      <c r="F87" t="s">
        <v>636</v>
      </c>
    </row>
    <row r="88" spans="1:6" x14ac:dyDescent="0.25">
      <c r="A88" t="s">
        <v>472</v>
      </c>
      <c r="B88">
        <v>3</v>
      </c>
      <c r="C88" s="1">
        <v>2412211.08</v>
      </c>
      <c r="F88" t="s">
        <v>636</v>
      </c>
    </row>
    <row r="89" spans="1:6" x14ac:dyDescent="0.25">
      <c r="A89" t="s">
        <v>38</v>
      </c>
      <c r="B89">
        <v>1</v>
      </c>
      <c r="C89" s="1">
        <v>481569.5</v>
      </c>
      <c r="D89" s="1">
        <v>481569.5</v>
      </c>
      <c r="F89" t="s">
        <v>635</v>
      </c>
    </row>
    <row r="90" spans="1:6" x14ac:dyDescent="0.25">
      <c r="A90" t="s">
        <v>38</v>
      </c>
      <c r="B90">
        <v>2</v>
      </c>
      <c r="C90" s="1">
        <v>481569.5</v>
      </c>
      <c r="D90" s="1">
        <v>481569.5</v>
      </c>
      <c r="F90" t="s">
        <v>635</v>
      </c>
    </row>
    <row r="91" spans="1:6" x14ac:dyDescent="0.25">
      <c r="A91" t="s">
        <v>38</v>
      </c>
      <c r="B91">
        <v>3</v>
      </c>
      <c r="C91" s="1">
        <v>481569.5</v>
      </c>
      <c r="D91" s="1">
        <v>481569.5</v>
      </c>
      <c r="F91" t="s">
        <v>635</v>
      </c>
    </row>
    <row r="92" spans="1:6" x14ac:dyDescent="0.25">
      <c r="A92" t="s">
        <v>38</v>
      </c>
      <c r="B92">
        <v>4</v>
      </c>
      <c r="C92" s="1">
        <v>481569.5</v>
      </c>
      <c r="D92" s="1">
        <v>481569.5</v>
      </c>
      <c r="F92" t="s">
        <v>635</v>
      </c>
    </row>
    <row r="93" spans="1:6" x14ac:dyDescent="0.25">
      <c r="A93" t="s">
        <v>199</v>
      </c>
      <c r="B93">
        <v>1</v>
      </c>
      <c r="C93" s="1">
        <v>1356521.12</v>
      </c>
      <c r="F93" t="s">
        <v>636</v>
      </c>
    </row>
    <row r="94" spans="1:6" x14ac:dyDescent="0.25">
      <c r="A94" t="s">
        <v>199</v>
      </c>
      <c r="B94">
        <v>2</v>
      </c>
      <c r="C94" s="1">
        <v>2551146.7000000002</v>
      </c>
      <c r="F94" t="s">
        <v>636</v>
      </c>
    </row>
    <row r="95" spans="1:6" x14ac:dyDescent="0.25">
      <c r="A95" t="s">
        <v>199</v>
      </c>
      <c r="B95">
        <v>3</v>
      </c>
      <c r="C95" s="1">
        <v>2488871.96</v>
      </c>
      <c r="F95" t="s">
        <v>636</v>
      </c>
    </row>
    <row r="96" spans="1:6" x14ac:dyDescent="0.25">
      <c r="A96" t="s">
        <v>41</v>
      </c>
      <c r="B96">
        <v>1</v>
      </c>
      <c r="C96" s="1">
        <v>365050.37</v>
      </c>
      <c r="D96" s="1">
        <v>365050.37</v>
      </c>
      <c r="F96" t="s">
        <v>635</v>
      </c>
    </row>
    <row r="97" spans="1:6" x14ac:dyDescent="0.25">
      <c r="A97" t="s">
        <v>41</v>
      </c>
      <c r="B97">
        <v>2</v>
      </c>
      <c r="C97" s="1">
        <v>365050.37</v>
      </c>
      <c r="D97" s="1">
        <v>365050.37</v>
      </c>
      <c r="F97" t="s">
        <v>635</v>
      </c>
    </row>
    <row r="98" spans="1:6" x14ac:dyDescent="0.25">
      <c r="A98" t="s">
        <v>41</v>
      </c>
      <c r="B98">
        <v>3</v>
      </c>
      <c r="C98" s="1">
        <v>365050.37</v>
      </c>
      <c r="D98" s="1">
        <v>365050.37</v>
      </c>
      <c r="F98" t="s">
        <v>635</v>
      </c>
    </row>
    <row r="99" spans="1:6" x14ac:dyDescent="0.25">
      <c r="A99" t="s">
        <v>41</v>
      </c>
      <c r="B99">
        <v>4</v>
      </c>
      <c r="C99" s="1">
        <v>365050.37</v>
      </c>
      <c r="D99" s="1">
        <v>365050.37</v>
      </c>
      <c r="F99" t="s">
        <v>635</v>
      </c>
    </row>
    <row r="100" spans="1:6" x14ac:dyDescent="0.25">
      <c r="A100" t="s">
        <v>204</v>
      </c>
      <c r="B100">
        <v>1</v>
      </c>
      <c r="C100" s="1">
        <v>2019959.92</v>
      </c>
      <c r="F100" t="s">
        <v>636</v>
      </c>
    </row>
    <row r="101" spans="1:6" x14ac:dyDescent="0.25">
      <c r="A101" t="s">
        <v>204</v>
      </c>
      <c r="B101">
        <v>2</v>
      </c>
      <c r="C101" s="1">
        <v>2019959.92</v>
      </c>
      <c r="F101" t="s">
        <v>636</v>
      </c>
    </row>
    <row r="102" spans="1:6" x14ac:dyDescent="0.25">
      <c r="A102" t="s">
        <v>204</v>
      </c>
      <c r="B102">
        <v>3</v>
      </c>
      <c r="C102" s="1">
        <v>2019959.93</v>
      </c>
      <c r="F102" t="s">
        <v>636</v>
      </c>
    </row>
    <row r="103" spans="1:6" x14ac:dyDescent="0.25">
      <c r="A103" t="s">
        <v>477</v>
      </c>
      <c r="B103">
        <v>1</v>
      </c>
      <c r="C103" s="1">
        <v>1287976.58</v>
      </c>
      <c r="F103" t="s">
        <v>636</v>
      </c>
    </row>
    <row r="104" spans="1:6" x14ac:dyDescent="0.25">
      <c r="A104" t="s">
        <v>44</v>
      </c>
      <c r="B104">
        <v>1</v>
      </c>
      <c r="C104" s="1">
        <v>511130.85</v>
      </c>
      <c r="D104" s="1">
        <v>511130.85</v>
      </c>
      <c r="F104" t="s">
        <v>635</v>
      </c>
    </row>
    <row r="105" spans="1:6" x14ac:dyDescent="0.25">
      <c r="A105" t="s">
        <v>44</v>
      </c>
      <c r="B105">
        <v>2</v>
      </c>
      <c r="C105" s="1">
        <v>511130.85</v>
      </c>
      <c r="D105" s="1">
        <v>511130.85</v>
      </c>
      <c r="F105" t="s">
        <v>635</v>
      </c>
    </row>
    <row r="106" spans="1:6" x14ac:dyDescent="0.25">
      <c r="A106" t="s">
        <v>44</v>
      </c>
      <c r="B106">
        <v>3</v>
      </c>
      <c r="C106" s="1">
        <v>511130.85</v>
      </c>
      <c r="D106" s="1">
        <v>511130.85</v>
      </c>
      <c r="F106" t="s">
        <v>635</v>
      </c>
    </row>
    <row r="107" spans="1:6" x14ac:dyDescent="0.25">
      <c r="A107" t="s">
        <v>44</v>
      </c>
      <c r="B107">
        <v>4</v>
      </c>
      <c r="C107" s="1">
        <v>511130.85</v>
      </c>
      <c r="F107" t="s">
        <v>636</v>
      </c>
    </row>
    <row r="108" spans="1:6" x14ac:dyDescent="0.25">
      <c r="A108" t="s">
        <v>44</v>
      </c>
      <c r="B108">
        <v>5</v>
      </c>
      <c r="C108" s="1">
        <v>511130.85</v>
      </c>
      <c r="D108" s="1">
        <v>511130.85</v>
      </c>
      <c r="F108" t="s">
        <v>635</v>
      </c>
    </row>
    <row r="109" spans="1:6" x14ac:dyDescent="0.25">
      <c r="A109" t="s">
        <v>44</v>
      </c>
      <c r="B109">
        <v>6</v>
      </c>
      <c r="C109" s="1">
        <v>511130.85</v>
      </c>
      <c r="D109" s="1">
        <v>511130.85</v>
      </c>
      <c r="F109" t="s">
        <v>635</v>
      </c>
    </row>
    <row r="110" spans="1:6" x14ac:dyDescent="0.25">
      <c r="A110" t="s">
        <v>209</v>
      </c>
      <c r="B110">
        <v>1</v>
      </c>
      <c r="C110" s="1">
        <v>2154623.9300000002</v>
      </c>
      <c r="F110" t="s">
        <v>636</v>
      </c>
    </row>
    <row r="111" spans="1:6" x14ac:dyDescent="0.25">
      <c r="A111" t="s">
        <v>209</v>
      </c>
      <c r="B111">
        <v>2</v>
      </c>
      <c r="C111" s="1">
        <v>2154623.9300000002</v>
      </c>
      <c r="F111" t="s">
        <v>636</v>
      </c>
    </row>
    <row r="112" spans="1:6" x14ac:dyDescent="0.25">
      <c r="A112" t="s">
        <v>209</v>
      </c>
      <c r="B112">
        <v>3</v>
      </c>
      <c r="C112" s="1">
        <v>2154623.9300000002</v>
      </c>
      <c r="F112" t="s">
        <v>636</v>
      </c>
    </row>
    <row r="113" spans="1:6" x14ac:dyDescent="0.25">
      <c r="A113" t="s">
        <v>482</v>
      </c>
      <c r="B113">
        <v>1</v>
      </c>
      <c r="C113" s="1">
        <v>1267101.5900000001</v>
      </c>
      <c r="F113" t="s">
        <v>636</v>
      </c>
    </row>
    <row r="114" spans="1:6" x14ac:dyDescent="0.25">
      <c r="A114" t="s">
        <v>482</v>
      </c>
      <c r="B114">
        <v>2</v>
      </c>
      <c r="C114" s="1">
        <v>1267101.58</v>
      </c>
      <c r="F114" t="s">
        <v>636</v>
      </c>
    </row>
    <row r="115" spans="1:6" x14ac:dyDescent="0.25">
      <c r="A115" t="s">
        <v>482</v>
      </c>
      <c r="B115">
        <v>3</v>
      </c>
      <c r="C115" s="1">
        <v>1267101.58</v>
      </c>
      <c r="F115" t="s">
        <v>636</v>
      </c>
    </row>
    <row r="116" spans="1:6" x14ac:dyDescent="0.25">
      <c r="A116" t="s">
        <v>482</v>
      </c>
      <c r="B116">
        <v>4</v>
      </c>
      <c r="C116" s="1">
        <v>1267101.58</v>
      </c>
      <c r="F116" t="s">
        <v>636</v>
      </c>
    </row>
    <row r="117" spans="1:6" x14ac:dyDescent="0.25">
      <c r="A117" t="s">
        <v>482</v>
      </c>
      <c r="B117">
        <v>5</v>
      </c>
      <c r="C117" s="1">
        <v>1267101.58</v>
      </c>
      <c r="F117" t="s">
        <v>636</v>
      </c>
    </row>
    <row r="118" spans="1:6" x14ac:dyDescent="0.25">
      <c r="A118" t="s">
        <v>482</v>
      </c>
      <c r="B118">
        <v>6</v>
      </c>
      <c r="C118" s="1">
        <v>1267101.58</v>
      </c>
      <c r="F118" t="s">
        <v>636</v>
      </c>
    </row>
    <row r="119" spans="1:6" x14ac:dyDescent="0.25">
      <c r="A119" t="s">
        <v>214</v>
      </c>
      <c r="B119">
        <v>1</v>
      </c>
      <c r="C119" s="1">
        <v>2165291.23</v>
      </c>
      <c r="F119" t="s">
        <v>636</v>
      </c>
    </row>
    <row r="120" spans="1:6" x14ac:dyDescent="0.25">
      <c r="A120" t="s">
        <v>214</v>
      </c>
      <c r="B120">
        <v>2</v>
      </c>
      <c r="C120" s="1">
        <v>2165291.23</v>
      </c>
      <c r="F120" t="s">
        <v>636</v>
      </c>
    </row>
    <row r="121" spans="1:6" x14ac:dyDescent="0.25">
      <c r="A121" t="s">
        <v>214</v>
      </c>
      <c r="B121">
        <v>3</v>
      </c>
      <c r="C121" s="1">
        <v>2165291.23</v>
      </c>
      <c r="F121" t="s">
        <v>636</v>
      </c>
    </row>
    <row r="122" spans="1:6" x14ac:dyDescent="0.25">
      <c r="A122" t="s">
        <v>485</v>
      </c>
      <c r="B122">
        <v>1</v>
      </c>
      <c r="C122" s="1">
        <v>1157284.3899999999</v>
      </c>
      <c r="D122" s="1">
        <v>1157284.3899999999</v>
      </c>
      <c r="F122" t="s">
        <v>635</v>
      </c>
    </row>
    <row r="123" spans="1:6" x14ac:dyDescent="0.25">
      <c r="A123" t="s">
        <v>485</v>
      </c>
      <c r="B123">
        <v>2</v>
      </c>
      <c r="C123" s="1">
        <v>1157284.3899999999</v>
      </c>
      <c r="D123" s="1">
        <v>1157284.3899999999</v>
      </c>
      <c r="F123" t="s">
        <v>635</v>
      </c>
    </row>
    <row r="124" spans="1:6" x14ac:dyDescent="0.25">
      <c r="A124" t="s">
        <v>485</v>
      </c>
      <c r="B124">
        <v>3</v>
      </c>
      <c r="C124" s="1">
        <v>1157284.3899999999</v>
      </c>
      <c r="F124" t="s">
        <v>636</v>
      </c>
    </row>
    <row r="125" spans="1:6" x14ac:dyDescent="0.25">
      <c r="A125" t="s">
        <v>485</v>
      </c>
      <c r="B125">
        <v>4</v>
      </c>
      <c r="C125" s="1">
        <v>1157284.3899999999</v>
      </c>
      <c r="F125" t="s">
        <v>636</v>
      </c>
    </row>
    <row r="126" spans="1:6" x14ac:dyDescent="0.25">
      <c r="A126" t="s">
        <v>485</v>
      </c>
      <c r="B126">
        <v>5</v>
      </c>
      <c r="C126" s="1">
        <v>1157284.3899999999</v>
      </c>
      <c r="F126" t="s">
        <v>636</v>
      </c>
    </row>
    <row r="127" spans="1:6" x14ac:dyDescent="0.25">
      <c r="A127" t="s">
        <v>485</v>
      </c>
      <c r="B127">
        <v>6</v>
      </c>
      <c r="C127" s="1">
        <v>1157284.3899999999</v>
      </c>
      <c r="F127" t="s">
        <v>636</v>
      </c>
    </row>
    <row r="128" spans="1:6" x14ac:dyDescent="0.25">
      <c r="A128" t="s">
        <v>485</v>
      </c>
      <c r="B128">
        <v>7</v>
      </c>
      <c r="C128" s="1">
        <v>1157284.3899999999</v>
      </c>
      <c r="F128" t="s">
        <v>636</v>
      </c>
    </row>
    <row r="129" spans="1:6" x14ac:dyDescent="0.25">
      <c r="A129" t="s">
        <v>485</v>
      </c>
      <c r="B129">
        <v>8</v>
      </c>
      <c r="C129" s="1">
        <v>1157284.3799999999</v>
      </c>
      <c r="F129" t="s">
        <v>636</v>
      </c>
    </row>
    <row r="130" spans="1:6" x14ac:dyDescent="0.25">
      <c r="A130" t="s">
        <v>218</v>
      </c>
      <c r="B130">
        <v>1</v>
      </c>
      <c r="C130" s="1">
        <v>1950681.53</v>
      </c>
      <c r="D130" s="1">
        <v>1950681.53</v>
      </c>
      <c r="F130" t="s">
        <v>635</v>
      </c>
    </row>
    <row r="131" spans="1:6" x14ac:dyDescent="0.25">
      <c r="A131" t="s">
        <v>218</v>
      </c>
      <c r="B131">
        <v>2</v>
      </c>
      <c r="C131" s="1">
        <v>3251135.89</v>
      </c>
      <c r="D131" s="1">
        <v>3251135.89</v>
      </c>
      <c r="F131" t="s">
        <v>635</v>
      </c>
    </row>
    <row r="132" spans="1:6" x14ac:dyDescent="0.25">
      <c r="A132" t="s">
        <v>218</v>
      </c>
      <c r="B132">
        <v>3</v>
      </c>
      <c r="C132" s="1">
        <v>1300454.3600000001</v>
      </c>
      <c r="D132" s="1">
        <v>1300454.3600000001</v>
      </c>
      <c r="F132" t="s">
        <v>635</v>
      </c>
    </row>
    <row r="133" spans="1:6" x14ac:dyDescent="0.25">
      <c r="A133" t="s">
        <v>488</v>
      </c>
      <c r="B133">
        <v>1</v>
      </c>
      <c r="C133" s="1">
        <v>1437029.46</v>
      </c>
      <c r="D133" s="1">
        <v>1437029.46</v>
      </c>
      <c r="F133" t="s">
        <v>635</v>
      </c>
    </row>
    <row r="134" spans="1:6" x14ac:dyDescent="0.25">
      <c r="A134" t="s">
        <v>488</v>
      </c>
      <c r="B134">
        <v>2</v>
      </c>
      <c r="C134" s="1">
        <v>1437029.46</v>
      </c>
      <c r="F134" t="s">
        <v>636</v>
      </c>
    </row>
    <row r="135" spans="1:6" x14ac:dyDescent="0.25">
      <c r="A135" t="s">
        <v>488</v>
      </c>
      <c r="B135">
        <v>3</v>
      </c>
      <c r="C135" s="1">
        <v>1437029.46</v>
      </c>
      <c r="F135" t="s">
        <v>636</v>
      </c>
    </row>
    <row r="136" spans="1:6" x14ac:dyDescent="0.25">
      <c r="A136" t="s">
        <v>488</v>
      </c>
      <c r="B136">
        <v>4</v>
      </c>
      <c r="C136" s="1">
        <v>1437029.46</v>
      </c>
      <c r="F136" t="s">
        <v>636</v>
      </c>
    </row>
    <row r="137" spans="1:6" x14ac:dyDescent="0.25">
      <c r="A137" t="s">
        <v>223</v>
      </c>
      <c r="B137">
        <v>1</v>
      </c>
      <c r="C137" s="1">
        <v>2500000</v>
      </c>
      <c r="D137" s="1">
        <v>2500000</v>
      </c>
      <c r="F137" t="s">
        <v>635</v>
      </c>
    </row>
    <row r="138" spans="1:6" x14ac:dyDescent="0.25">
      <c r="A138" t="s">
        <v>223</v>
      </c>
      <c r="B138">
        <v>2</v>
      </c>
      <c r="C138" s="1">
        <v>2500000</v>
      </c>
      <c r="F138" t="s">
        <v>636</v>
      </c>
    </row>
    <row r="139" spans="1:6" x14ac:dyDescent="0.25">
      <c r="A139" t="s">
        <v>223</v>
      </c>
      <c r="B139">
        <v>3</v>
      </c>
      <c r="C139" s="1">
        <v>1396539.78</v>
      </c>
      <c r="F139" t="s">
        <v>636</v>
      </c>
    </row>
    <row r="140" spans="1:6" x14ac:dyDescent="0.25">
      <c r="A140" t="s">
        <v>492</v>
      </c>
      <c r="B140">
        <v>1</v>
      </c>
      <c r="C140" s="1">
        <v>2431161.64</v>
      </c>
      <c r="D140" s="1">
        <v>2431161.64</v>
      </c>
      <c r="F140" t="s">
        <v>635</v>
      </c>
    </row>
    <row r="141" spans="1:6" x14ac:dyDescent="0.25">
      <c r="A141" t="s">
        <v>492</v>
      </c>
      <c r="B141">
        <v>2</v>
      </c>
      <c r="C141" s="1">
        <v>2431161.64</v>
      </c>
      <c r="F141" t="s">
        <v>636</v>
      </c>
    </row>
    <row r="142" spans="1:6" x14ac:dyDescent="0.25">
      <c r="A142" t="s">
        <v>492</v>
      </c>
      <c r="B142">
        <v>3</v>
      </c>
      <c r="C142" s="1">
        <v>2431161.62</v>
      </c>
      <c r="F142" t="s">
        <v>636</v>
      </c>
    </row>
    <row r="143" spans="1:6" x14ac:dyDescent="0.25">
      <c r="A143" t="s">
        <v>49</v>
      </c>
      <c r="B143">
        <v>1</v>
      </c>
      <c r="C143" s="1">
        <v>1349235.18</v>
      </c>
      <c r="F143" t="s">
        <v>636</v>
      </c>
    </row>
    <row r="144" spans="1:6" x14ac:dyDescent="0.25">
      <c r="A144" t="s">
        <v>49</v>
      </c>
      <c r="B144">
        <v>2</v>
      </c>
      <c r="C144" s="1">
        <v>1349235.18</v>
      </c>
      <c r="F144" t="s">
        <v>636</v>
      </c>
    </row>
    <row r="145" spans="1:6" x14ac:dyDescent="0.25">
      <c r="A145" t="s">
        <v>49</v>
      </c>
      <c r="B145">
        <v>3</v>
      </c>
      <c r="C145" s="1">
        <v>1349235.17</v>
      </c>
      <c r="F145" t="s">
        <v>636</v>
      </c>
    </row>
    <row r="146" spans="1:6" x14ac:dyDescent="0.25">
      <c r="A146" t="s">
        <v>226</v>
      </c>
      <c r="B146">
        <v>1</v>
      </c>
      <c r="C146" s="1">
        <v>2059886.95</v>
      </c>
      <c r="F146" t="s">
        <v>636</v>
      </c>
    </row>
    <row r="147" spans="1:6" x14ac:dyDescent="0.25">
      <c r="A147" t="s">
        <v>226</v>
      </c>
      <c r="B147">
        <v>2</v>
      </c>
      <c r="C147" s="1">
        <v>2060000</v>
      </c>
      <c r="F147" t="s">
        <v>636</v>
      </c>
    </row>
    <row r="148" spans="1:6" x14ac:dyDescent="0.25">
      <c r="A148" t="s">
        <v>226</v>
      </c>
      <c r="B148">
        <v>3</v>
      </c>
      <c r="C148" s="1">
        <v>2060000</v>
      </c>
      <c r="F148" t="s">
        <v>636</v>
      </c>
    </row>
    <row r="149" spans="1:6" x14ac:dyDescent="0.25">
      <c r="A149" t="s">
        <v>495</v>
      </c>
      <c r="B149">
        <v>1</v>
      </c>
      <c r="C149" s="1">
        <v>1700470.28</v>
      </c>
      <c r="F149" t="s">
        <v>636</v>
      </c>
    </row>
    <row r="150" spans="1:6" x14ac:dyDescent="0.25">
      <c r="A150" t="s">
        <v>495</v>
      </c>
      <c r="B150">
        <v>2</v>
      </c>
      <c r="C150" s="1">
        <v>1700470.28</v>
      </c>
      <c r="F150" t="s">
        <v>636</v>
      </c>
    </row>
    <row r="151" spans="1:6" x14ac:dyDescent="0.25">
      <c r="A151" t="s">
        <v>495</v>
      </c>
      <c r="B151">
        <v>3</v>
      </c>
      <c r="C151" s="1">
        <v>1700470.28</v>
      </c>
      <c r="F151" t="s">
        <v>636</v>
      </c>
    </row>
    <row r="152" spans="1:6" x14ac:dyDescent="0.25">
      <c r="A152" t="s">
        <v>495</v>
      </c>
      <c r="B152">
        <v>4</v>
      </c>
      <c r="C152" s="1">
        <v>1700470.28</v>
      </c>
      <c r="F152" t="s">
        <v>636</v>
      </c>
    </row>
    <row r="153" spans="1:6" x14ac:dyDescent="0.25">
      <c r="A153" t="s">
        <v>613</v>
      </c>
      <c r="B153">
        <v>1</v>
      </c>
      <c r="C153" s="1">
        <v>240000</v>
      </c>
      <c r="D153" s="1">
        <v>240000</v>
      </c>
      <c r="F153" t="s">
        <v>635</v>
      </c>
    </row>
    <row r="154" spans="1:6" x14ac:dyDescent="0.25">
      <c r="A154" t="s">
        <v>498</v>
      </c>
      <c r="B154">
        <v>1</v>
      </c>
      <c r="C154" s="1">
        <v>1899645.64</v>
      </c>
      <c r="D154" s="1">
        <v>1899645.64</v>
      </c>
      <c r="F154" t="s">
        <v>635</v>
      </c>
    </row>
    <row r="155" spans="1:6" x14ac:dyDescent="0.25">
      <c r="A155" t="s">
        <v>498</v>
      </c>
      <c r="B155">
        <v>2</v>
      </c>
      <c r="C155" s="1">
        <v>1899645.64</v>
      </c>
      <c r="F155" t="s">
        <v>636</v>
      </c>
    </row>
    <row r="156" spans="1:6" x14ac:dyDescent="0.25">
      <c r="A156" t="s">
        <v>498</v>
      </c>
      <c r="B156">
        <v>3</v>
      </c>
      <c r="C156" s="1">
        <v>1899645.65</v>
      </c>
      <c r="F156" t="s">
        <v>636</v>
      </c>
    </row>
    <row r="157" spans="1:6" x14ac:dyDescent="0.25">
      <c r="A157" t="s">
        <v>608</v>
      </c>
      <c r="B157">
        <v>1</v>
      </c>
      <c r="C157" s="1">
        <v>1240393.95</v>
      </c>
      <c r="F157" t="s">
        <v>636</v>
      </c>
    </row>
    <row r="158" spans="1:6" x14ac:dyDescent="0.25">
      <c r="A158" t="s">
        <v>608</v>
      </c>
      <c r="B158">
        <v>2</v>
      </c>
      <c r="C158" s="1">
        <v>1240393.95</v>
      </c>
      <c r="F158" t="s">
        <v>636</v>
      </c>
    </row>
    <row r="159" spans="1:6" x14ac:dyDescent="0.25">
      <c r="A159" t="s">
        <v>608</v>
      </c>
      <c r="B159">
        <v>3</v>
      </c>
      <c r="C159" s="1">
        <v>1240393.95</v>
      </c>
      <c r="F159" t="s">
        <v>636</v>
      </c>
    </row>
    <row r="160" spans="1:6" x14ac:dyDescent="0.25">
      <c r="A160" t="s">
        <v>608</v>
      </c>
      <c r="B160">
        <v>4</v>
      </c>
      <c r="C160" s="1">
        <v>1240393.94</v>
      </c>
      <c r="F160" t="s">
        <v>636</v>
      </c>
    </row>
    <row r="161" spans="1:6" x14ac:dyDescent="0.25">
      <c r="A161" t="s">
        <v>231</v>
      </c>
      <c r="B161">
        <v>1</v>
      </c>
      <c r="C161" s="1">
        <v>2019959.92</v>
      </c>
      <c r="F161" t="s">
        <v>636</v>
      </c>
    </row>
    <row r="162" spans="1:6" x14ac:dyDescent="0.25">
      <c r="A162" t="s">
        <v>231</v>
      </c>
      <c r="B162">
        <v>2</v>
      </c>
      <c r="C162" s="1">
        <v>2019959.92</v>
      </c>
      <c r="F162" t="s">
        <v>636</v>
      </c>
    </row>
    <row r="163" spans="1:6" x14ac:dyDescent="0.25">
      <c r="A163" t="s">
        <v>231</v>
      </c>
      <c r="B163">
        <v>3</v>
      </c>
      <c r="C163" s="1">
        <v>2019959.93</v>
      </c>
      <c r="F163" t="s">
        <v>636</v>
      </c>
    </row>
    <row r="164" spans="1:6" x14ac:dyDescent="0.25">
      <c r="A164" t="s">
        <v>502</v>
      </c>
      <c r="B164">
        <v>1</v>
      </c>
      <c r="C164" s="1">
        <v>2927313.13</v>
      </c>
      <c r="F164" t="s">
        <v>636</v>
      </c>
    </row>
    <row r="165" spans="1:6" x14ac:dyDescent="0.25">
      <c r="A165" t="s">
        <v>502</v>
      </c>
      <c r="B165">
        <v>2</v>
      </c>
      <c r="C165" s="1">
        <v>2927313.13</v>
      </c>
      <c r="F165" t="s">
        <v>636</v>
      </c>
    </row>
    <row r="166" spans="1:6" x14ac:dyDescent="0.25">
      <c r="A166" t="s">
        <v>54</v>
      </c>
      <c r="B166">
        <v>1</v>
      </c>
      <c r="C166" s="1">
        <v>861281.24</v>
      </c>
      <c r="D166" s="1">
        <v>861281.24</v>
      </c>
      <c r="F166" t="s">
        <v>635</v>
      </c>
    </row>
    <row r="167" spans="1:6" x14ac:dyDescent="0.25">
      <c r="A167" t="s">
        <v>54</v>
      </c>
      <c r="B167">
        <v>2</v>
      </c>
      <c r="C167" s="1">
        <v>861281.24</v>
      </c>
      <c r="D167" s="1">
        <v>861281.24</v>
      </c>
      <c r="F167" t="s">
        <v>635</v>
      </c>
    </row>
    <row r="168" spans="1:6" x14ac:dyDescent="0.25">
      <c r="A168" t="s">
        <v>54</v>
      </c>
      <c r="B168">
        <v>3</v>
      </c>
      <c r="C168" s="1">
        <v>861281.24</v>
      </c>
      <c r="D168" s="1">
        <v>861281.24</v>
      </c>
      <c r="F168" t="s">
        <v>635</v>
      </c>
    </row>
    <row r="169" spans="1:6" x14ac:dyDescent="0.25">
      <c r="A169" t="s">
        <v>54</v>
      </c>
      <c r="B169">
        <v>4</v>
      </c>
      <c r="C169" s="1">
        <v>861281.24</v>
      </c>
      <c r="F169" t="s">
        <v>636</v>
      </c>
    </row>
    <row r="170" spans="1:6" x14ac:dyDescent="0.25">
      <c r="A170" t="s">
        <v>54</v>
      </c>
      <c r="B170">
        <v>5</v>
      </c>
      <c r="C170" s="1">
        <v>861281.24</v>
      </c>
      <c r="D170" s="1">
        <v>861281.24</v>
      </c>
      <c r="F170" t="s">
        <v>635</v>
      </c>
    </row>
    <row r="171" spans="1:6" x14ac:dyDescent="0.25">
      <c r="A171" t="s">
        <v>54</v>
      </c>
      <c r="B171">
        <v>6</v>
      </c>
      <c r="C171" s="1">
        <v>861281.24</v>
      </c>
      <c r="D171" s="1">
        <v>861281.24</v>
      </c>
      <c r="F171" t="s">
        <v>635</v>
      </c>
    </row>
    <row r="172" spans="1:6" x14ac:dyDescent="0.25">
      <c r="A172" t="s">
        <v>236</v>
      </c>
      <c r="B172">
        <v>1</v>
      </c>
      <c r="C172" s="1">
        <v>2154623.92</v>
      </c>
      <c r="F172" t="s">
        <v>636</v>
      </c>
    </row>
    <row r="173" spans="1:6" x14ac:dyDescent="0.25">
      <c r="A173" t="s">
        <v>236</v>
      </c>
      <c r="B173">
        <v>2</v>
      </c>
      <c r="C173" s="1">
        <v>2154623.92</v>
      </c>
      <c r="F173" t="s">
        <v>636</v>
      </c>
    </row>
    <row r="174" spans="1:6" x14ac:dyDescent="0.25">
      <c r="A174" t="s">
        <v>236</v>
      </c>
      <c r="B174">
        <v>3</v>
      </c>
      <c r="C174" s="1">
        <v>2154623.9300000002</v>
      </c>
      <c r="F174" t="s">
        <v>636</v>
      </c>
    </row>
    <row r="175" spans="1:6" x14ac:dyDescent="0.25">
      <c r="A175" t="s">
        <v>507</v>
      </c>
      <c r="B175">
        <v>1</v>
      </c>
      <c r="C175" s="1">
        <v>480303.1</v>
      </c>
      <c r="D175" s="1">
        <v>480303.1</v>
      </c>
      <c r="F175" t="s">
        <v>635</v>
      </c>
    </row>
    <row r="176" spans="1:6" x14ac:dyDescent="0.25">
      <c r="A176" t="s">
        <v>507</v>
      </c>
      <c r="B176">
        <v>2</v>
      </c>
      <c r="C176" s="1">
        <v>1520959.81</v>
      </c>
      <c r="D176" s="1">
        <v>1520959.81</v>
      </c>
      <c r="F176" t="s">
        <v>635</v>
      </c>
    </row>
    <row r="177" spans="1:6" x14ac:dyDescent="0.25">
      <c r="A177" t="s">
        <v>507</v>
      </c>
      <c r="B177">
        <v>3</v>
      </c>
      <c r="C177" s="1">
        <v>1520959.81</v>
      </c>
      <c r="D177" s="1">
        <v>1520959.81</v>
      </c>
      <c r="F177" t="s">
        <v>635</v>
      </c>
    </row>
    <row r="178" spans="1:6" x14ac:dyDescent="0.25">
      <c r="A178" t="s">
        <v>507</v>
      </c>
      <c r="B178">
        <v>4</v>
      </c>
      <c r="C178" s="1">
        <v>1520959.81</v>
      </c>
      <c r="D178" s="1">
        <v>1520959.81</v>
      </c>
      <c r="F178" t="s">
        <v>635</v>
      </c>
    </row>
    <row r="179" spans="1:6" x14ac:dyDescent="0.25">
      <c r="A179" t="s">
        <v>507</v>
      </c>
      <c r="B179">
        <v>5</v>
      </c>
      <c r="C179" s="1">
        <v>1520959.81</v>
      </c>
      <c r="F179" t="s">
        <v>636</v>
      </c>
    </row>
    <row r="180" spans="1:6" x14ac:dyDescent="0.25">
      <c r="A180" t="s">
        <v>507</v>
      </c>
      <c r="B180">
        <v>6</v>
      </c>
      <c r="C180" s="1">
        <v>1520959.81</v>
      </c>
      <c r="F180" t="s">
        <v>636</v>
      </c>
    </row>
    <row r="181" spans="1:6" x14ac:dyDescent="0.25">
      <c r="A181" t="s">
        <v>507</v>
      </c>
      <c r="B181">
        <v>7</v>
      </c>
      <c r="C181" s="1">
        <v>1520959.8</v>
      </c>
      <c r="F181" t="s">
        <v>636</v>
      </c>
    </row>
    <row r="182" spans="1:6" x14ac:dyDescent="0.25">
      <c r="A182" t="s">
        <v>59</v>
      </c>
      <c r="B182">
        <v>1</v>
      </c>
      <c r="C182" s="1">
        <v>1269418.6000000001</v>
      </c>
      <c r="D182" s="1">
        <v>1269418.6000000001</v>
      </c>
      <c r="F182" t="s">
        <v>635</v>
      </c>
    </row>
    <row r="183" spans="1:6" x14ac:dyDescent="0.25">
      <c r="A183" t="s">
        <v>59</v>
      </c>
      <c r="B183">
        <v>2</v>
      </c>
      <c r="C183" s="1">
        <v>1269418.6000000001</v>
      </c>
      <c r="F183" t="s">
        <v>636</v>
      </c>
    </row>
    <row r="184" spans="1:6" x14ac:dyDescent="0.25">
      <c r="A184" t="s">
        <v>59</v>
      </c>
      <c r="B184">
        <v>3</v>
      </c>
      <c r="C184" s="1">
        <v>1269418.6000000001</v>
      </c>
      <c r="D184" s="1">
        <v>1269418.6000000001</v>
      </c>
      <c r="F184" t="s">
        <v>635</v>
      </c>
    </row>
    <row r="185" spans="1:6" x14ac:dyDescent="0.25">
      <c r="A185" t="s">
        <v>59</v>
      </c>
      <c r="B185">
        <v>4</v>
      </c>
      <c r="C185" s="1">
        <v>1269418.6000000001</v>
      </c>
      <c r="D185" s="1">
        <v>1269418.6000000001</v>
      </c>
      <c r="F185" t="s">
        <v>635</v>
      </c>
    </row>
    <row r="186" spans="1:6" x14ac:dyDescent="0.25">
      <c r="A186" t="s">
        <v>59</v>
      </c>
      <c r="B186">
        <v>5</v>
      </c>
      <c r="C186" s="1">
        <v>1269418.6000000001</v>
      </c>
      <c r="F186" t="s">
        <v>636</v>
      </c>
    </row>
    <row r="187" spans="1:6" x14ac:dyDescent="0.25">
      <c r="A187" t="s">
        <v>59</v>
      </c>
      <c r="B187">
        <v>6</v>
      </c>
      <c r="C187" s="1">
        <v>1269418.6000000001</v>
      </c>
      <c r="F187" t="s">
        <v>636</v>
      </c>
    </row>
    <row r="188" spans="1:6" x14ac:dyDescent="0.25">
      <c r="A188" t="s">
        <v>59</v>
      </c>
      <c r="B188">
        <v>7</v>
      </c>
      <c r="C188" s="1">
        <v>1269418.6000000001</v>
      </c>
      <c r="F188" t="s">
        <v>636</v>
      </c>
    </row>
    <row r="189" spans="1:6" x14ac:dyDescent="0.25">
      <c r="A189" t="s">
        <v>59</v>
      </c>
      <c r="B189">
        <v>8</v>
      </c>
      <c r="C189" s="1">
        <v>1269418.6000000001</v>
      </c>
      <c r="F189" t="s">
        <v>636</v>
      </c>
    </row>
    <row r="190" spans="1:6" x14ac:dyDescent="0.25">
      <c r="A190" t="s">
        <v>239</v>
      </c>
      <c r="B190">
        <v>1</v>
      </c>
      <c r="C190" s="1">
        <v>2197293.14</v>
      </c>
      <c r="D190" s="1">
        <v>2197293.14</v>
      </c>
      <c r="F190" t="s">
        <v>635</v>
      </c>
    </row>
    <row r="191" spans="1:6" x14ac:dyDescent="0.25">
      <c r="A191" t="s">
        <v>239</v>
      </c>
      <c r="B191">
        <v>2</v>
      </c>
      <c r="C191" s="1">
        <v>2197293.14</v>
      </c>
      <c r="D191" s="1">
        <v>2197293.14</v>
      </c>
      <c r="F191" t="s">
        <v>635</v>
      </c>
    </row>
    <row r="192" spans="1:6" x14ac:dyDescent="0.25">
      <c r="A192" t="s">
        <v>239</v>
      </c>
      <c r="B192">
        <v>3</v>
      </c>
      <c r="C192" s="1">
        <v>2197293.14</v>
      </c>
      <c r="F192" t="s">
        <v>636</v>
      </c>
    </row>
    <row r="193" spans="1:6" x14ac:dyDescent="0.25">
      <c r="A193" t="s">
        <v>510</v>
      </c>
      <c r="B193">
        <v>1</v>
      </c>
      <c r="C193" s="1">
        <v>2132179.9300000002</v>
      </c>
      <c r="F193" t="s">
        <v>636</v>
      </c>
    </row>
    <row r="194" spans="1:6" x14ac:dyDescent="0.25">
      <c r="A194" t="s">
        <v>510</v>
      </c>
      <c r="B194">
        <v>2</v>
      </c>
      <c r="C194" s="1">
        <v>2132179.92</v>
      </c>
      <c r="F194" t="s">
        <v>636</v>
      </c>
    </row>
    <row r="195" spans="1:6" x14ac:dyDescent="0.25">
      <c r="A195" t="s">
        <v>510</v>
      </c>
      <c r="B195">
        <v>3</v>
      </c>
      <c r="C195" s="1">
        <v>2132179.92</v>
      </c>
      <c r="F195" t="s">
        <v>636</v>
      </c>
    </row>
    <row r="196" spans="1:6" x14ac:dyDescent="0.25">
      <c r="A196" t="s">
        <v>244</v>
      </c>
      <c r="B196">
        <v>1</v>
      </c>
      <c r="C196" s="1">
        <v>2109735.92</v>
      </c>
      <c r="F196" t="s">
        <v>636</v>
      </c>
    </row>
    <row r="197" spans="1:6" x14ac:dyDescent="0.25">
      <c r="A197" t="s">
        <v>244</v>
      </c>
      <c r="B197">
        <v>2</v>
      </c>
      <c r="C197" s="1">
        <v>2109735.9300000002</v>
      </c>
      <c r="F197" t="s">
        <v>636</v>
      </c>
    </row>
    <row r="198" spans="1:6" x14ac:dyDescent="0.25">
      <c r="A198" t="s">
        <v>244</v>
      </c>
      <c r="B198">
        <v>3</v>
      </c>
      <c r="C198" s="1">
        <v>2109735.9300000002</v>
      </c>
      <c r="F198" t="s">
        <v>636</v>
      </c>
    </row>
    <row r="199" spans="1:6" x14ac:dyDescent="0.25">
      <c r="A199" t="s">
        <v>513</v>
      </c>
      <c r="B199">
        <v>1</v>
      </c>
      <c r="C199" s="1">
        <v>2529680.0099999998</v>
      </c>
      <c r="F199" t="s">
        <v>636</v>
      </c>
    </row>
    <row r="200" spans="1:6" x14ac:dyDescent="0.25">
      <c r="A200" t="s">
        <v>513</v>
      </c>
      <c r="B200">
        <v>2</v>
      </c>
      <c r="C200" s="1">
        <v>2529680</v>
      </c>
      <c r="F200" t="s">
        <v>636</v>
      </c>
    </row>
    <row r="201" spans="1:6" x14ac:dyDescent="0.25">
      <c r="A201" t="s">
        <v>513</v>
      </c>
      <c r="B201">
        <v>3</v>
      </c>
      <c r="C201" s="1">
        <v>2529680</v>
      </c>
      <c r="F201" t="s">
        <v>636</v>
      </c>
    </row>
    <row r="202" spans="1:6" x14ac:dyDescent="0.25">
      <c r="A202" t="s">
        <v>64</v>
      </c>
      <c r="B202">
        <v>1</v>
      </c>
      <c r="C202" s="1">
        <v>612302.01</v>
      </c>
      <c r="F202" t="s">
        <v>636</v>
      </c>
    </row>
    <row r="203" spans="1:6" x14ac:dyDescent="0.25">
      <c r="A203" t="s">
        <v>64</v>
      </c>
      <c r="B203">
        <v>2</v>
      </c>
      <c r="C203" s="1">
        <v>612302.03</v>
      </c>
      <c r="F203" t="s">
        <v>636</v>
      </c>
    </row>
    <row r="204" spans="1:6" x14ac:dyDescent="0.25">
      <c r="A204" t="s">
        <v>64</v>
      </c>
      <c r="B204">
        <v>3</v>
      </c>
      <c r="C204" s="1">
        <v>612302.03</v>
      </c>
      <c r="F204" t="s">
        <v>636</v>
      </c>
    </row>
    <row r="205" spans="1:6" x14ac:dyDescent="0.25">
      <c r="A205" t="s">
        <v>64</v>
      </c>
      <c r="B205">
        <v>4</v>
      </c>
      <c r="C205" s="1">
        <v>612302.03</v>
      </c>
      <c r="F205" t="s">
        <v>636</v>
      </c>
    </row>
    <row r="206" spans="1:6" x14ac:dyDescent="0.25">
      <c r="A206" t="s">
        <v>64</v>
      </c>
      <c r="B206">
        <v>5</v>
      </c>
      <c r="C206" s="1">
        <v>612302.03</v>
      </c>
      <c r="F206" t="s">
        <v>636</v>
      </c>
    </row>
    <row r="207" spans="1:6" x14ac:dyDescent="0.25">
      <c r="A207" t="s">
        <v>249</v>
      </c>
      <c r="B207">
        <v>1</v>
      </c>
      <c r="C207" s="1">
        <v>2165291.23</v>
      </c>
      <c r="F207" t="s">
        <v>636</v>
      </c>
    </row>
    <row r="208" spans="1:6" x14ac:dyDescent="0.25">
      <c r="A208" t="s">
        <v>249</v>
      </c>
      <c r="B208">
        <v>2</v>
      </c>
      <c r="C208" s="1">
        <v>2165291.23</v>
      </c>
      <c r="F208" t="s">
        <v>636</v>
      </c>
    </row>
    <row r="209" spans="1:6" x14ac:dyDescent="0.25">
      <c r="A209" t="s">
        <v>249</v>
      </c>
      <c r="B209">
        <v>3</v>
      </c>
      <c r="C209" s="1">
        <v>2165291.23</v>
      </c>
      <c r="F209" t="s">
        <v>636</v>
      </c>
    </row>
    <row r="210" spans="1:6" x14ac:dyDescent="0.25">
      <c r="A210" t="s">
        <v>518</v>
      </c>
      <c r="B210">
        <v>1</v>
      </c>
      <c r="C210" s="1">
        <v>2154623.9300000002</v>
      </c>
      <c r="F210" t="s">
        <v>636</v>
      </c>
    </row>
    <row r="211" spans="1:6" x14ac:dyDescent="0.25">
      <c r="A211" t="s">
        <v>518</v>
      </c>
      <c r="B211">
        <v>2</v>
      </c>
      <c r="C211" s="1">
        <v>2154623.9300000002</v>
      </c>
      <c r="F211" t="s">
        <v>636</v>
      </c>
    </row>
    <row r="212" spans="1:6" x14ac:dyDescent="0.25">
      <c r="A212" t="s">
        <v>518</v>
      </c>
      <c r="B212">
        <v>3</v>
      </c>
      <c r="C212" s="1">
        <v>2154623.92</v>
      </c>
      <c r="F212" t="s">
        <v>636</v>
      </c>
    </row>
    <row r="213" spans="1:6" x14ac:dyDescent="0.25">
      <c r="A213" t="s">
        <v>254</v>
      </c>
      <c r="B213">
        <v>1</v>
      </c>
      <c r="C213" s="1">
        <v>2165291.23</v>
      </c>
      <c r="D213" s="1">
        <v>2165291.23</v>
      </c>
      <c r="F213" t="s">
        <v>635</v>
      </c>
    </row>
    <row r="214" spans="1:6" x14ac:dyDescent="0.25">
      <c r="A214" t="s">
        <v>254</v>
      </c>
      <c r="B214">
        <v>2</v>
      </c>
      <c r="C214" s="1">
        <v>2165291.23</v>
      </c>
      <c r="D214" s="1">
        <v>2165291.23</v>
      </c>
      <c r="F214" t="s">
        <v>635</v>
      </c>
    </row>
    <row r="215" spans="1:6" x14ac:dyDescent="0.25">
      <c r="A215" t="s">
        <v>254</v>
      </c>
      <c r="B215">
        <v>3</v>
      </c>
      <c r="C215" s="1">
        <v>2165291.23</v>
      </c>
      <c r="F215" t="s">
        <v>636</v>
      </c>
    </row>
    <row r="216" spans="1:6" x14ac:dyDescent="0.25">
      <c r="A216" t="s">
        <v>521</v>
      </c>
      <c r="B216">
        <v>1</v>
      </c>
      <c r="C216" s="1">
        <v>356807.87</v>
      </c>
      <c r="F216" t="s">
        <v>636</v>
      </c>
    </row>
    <row r="217" spans="1:6" x14ac:dyDescent="0.25">
      <c r="A217" t="s">
        <v>521</v>
      </c>
      <c r="B217">
        <v>2</v>
      </c>
      <c r="C217" s="1">
        <v>1129891.6000000001</v>
      </c>
      <c r="F217" t="s">
        <v>636</v>
      </c>
    </row>
    <row r="218" spans="1:6" x14ac:dyDescent="0.25">
      <c r="A218" t="s">
        <v>521</v>
      </c>
      <c r="B218">
        <v>3</v>
      </c>
      <c r="C218" s="1">
        <v>1129891.6000000001</v>
      </c>
      <c r="F218" t="s">
        <v>636</v>
      </c>
    </row>
    <row r="219" spans="1:6" x14ac:dyDescent="0.25">
      <c r="A219" t="s">
        <v>521</v>
      </c>
      <c r="B219">
        <v>4</v>
      </c>
      <c r="C219" s="1">
        <v>1129891.6000000001</v>
      </c>
      <c r="F219" t="s">
        <v>636</v>
      </c>
    </row>
    <row r="220" spans="1:6" x14ac:dyDescent="0.25">
      <c r="A220" t="s">
        <v>521</v>
      </c>
      <c r="B220">
        <v>5</v>
      </c>
      <c r="C220" s="1">
        <v>1129891.6000000001</v>
      </c>
      <c r="F220" t="s">
        <v>636</v>
      </c>
    </row>
    <row r="221" spans="1:6" x14ac:dyDescent="0.25">
      <c r="A221" t="s">
        <v>521</v>
      </c>
      <c r="B221">
        <v>6</v>
      </c>
      <c r="C221" s="1">
        <v>1129891.6000000001</v>
      </c>
      <c r="F221" t="s">
        <v>636</v>
      </c>
    </row>
    <row r="222" spans="1:6" x14ac:dyDescent="0.25">
      <c r="A222" t="s">
        <v>521</v>
      </c>
      <c r="B222">
        <v>7</v>
      </c>
      <c r="C222" s="1">
        <v>1129891.6000000001</v>
      </c>
      <c r="F222" t="s">
        <v>636</v>
      </c>
    </row>
    <row r="223" spans="1:6" x14ac:dyDescent="0.25">
      <c r="A223" t="s">
        <v>258</v>
      </c>
      <c r="B223">
        <v>1</v>
      </c>
      <c r="C223" s="1">
        <v>2109735.9300000002</v>
      </c>
      <c r="D223" s="1">
        <v>2109735.9300000002</v>
      </c>
      <c r="F223" t="s">
        <v>635</v>
      </c>
    </row>
    <row r="224" spans="1:6" x14ac:dyDescent="0.25">
      <c r="A224" t="s">
        <v>258</v>
      </c>
      <c r="B224">
        <v>2</v>
      </c>
      <c r="C224" s="1">
        <v>2109735.9300000002</v>
      </c>
      <c r="D224" s="1">
        <v>2109735.9300000002</v>
      </c>
      <c r="F224" t="s">
        <v>635</v>
      </c>
    </row>
    <row r="225" spans="1:6" x14ac:dyDescent="0.25">
      <c r="A225" t="s">
        <v>258</v>
      </c>
      <c r="B225">
        <v>3</v>
      </c>
      <c r="C225" s="1">
        <v>2109735.9300000002</v>
      </c>
      <c r="F225" t="s">
        <v>636</v>
      </c>
    </row>
    <row r="226" spans="1:6" x14ac:dyDescent="0.25">
      <c r="A226" t="s">
        <v>524</v>
      </c>
      <c r="B226">
        <v>1</v>
      </c>
      <c r="C226" s="1">
        <v>389253.59</v>
      </c>
      <c r="F226" t="s">
        <v>636</v>
      </c>
    </row>
    <row r="227" spans="1:6" x14ac:dyDescent="0.25">
      <c r="A227" t="s">
        <v>524</v>
      </c>
      <c r="B227">
        <v>2</v>
      </c>
      <c r="C227" s="1">
        <v>1232636.3500000001</v>
      </c>
      <c r="F227" t="s">
        <v>636</v>
      </c>
    </row>
    <row r="228" spans="1:6" x14ac:dyDescent="0.25">
      <c r="A228" t="s">
        <v>524</v>
      </c>
      <c r="B228">
        <v>3</v>
      </c>
      <c r="C228" s="1">
        <v>1232636.3500000001</v>
      </c>
      <c r="F228" t="s">
        <v>636</v>
      </c>
    </row>
    <row r="229" spans="1:6" x14ac:dyDescent="0.25">
      <c r="A229" t="s">
        <v>524</v>
      </c>
      <c r="B229">
        <v>4</v>
      </c>
      <c r="C229" s="1">
        <v>1232636.3500000001</v>
      </c>
      <c r="F229" t="s">
        <v>636</v>
      </c>
    </row>
    <row r="230" spans="1:6" x14ac:dyDescent="0.25">
      <c r="A230" t="s">
        <v>524</v>
      </c>
      <c r="B230">
        <v>5</v>
      </c>
      <c r="C230" s="1">
        <v>1232636.3500000001</v>
      </c>
      <c r="F230" t="s">
        <v>636</v>
      </c>
    </row>
    <row r="231" spans="1:6" x14ac:dyDescent="0.25">
      <c r="A231" t="s">
        <v>524</v>
      </c>
      <c r="B231">
        <v>6</v>
      </c>
      <c r="C231" s="1">
        <v>1232636.3500000001</v>
      </c>
      <c r="F231" t="s">
        <v>636</v>
      </c>
    </row>
    <row r="232" spans="1:6" x14ac:dyDescent="0.25">
      <c r="A232" t="s">
        <v>524</v>
      </c>
      <c r="B232">
        <v>7</v>
      </c>
      <c r="C232" s="1">
        <v>1232636.3799999999</v>
      </c>
      <c r="F232" t="s">
        <v>636</v>
      </c>
    </row>
    <row r="233" spans="1:6" x14ac:dyDescent="0.25">
      <c r="A233" t="s">
        <v>69</v>
      </c>
      <c r="B233">
        <v>1</v>
      </c>
      <c r="C233" s="1">
        <v>806107.86</v>
      </c>
      <c r="F233" t="s">
        <v>636</v>
      </c>
    </row>
    <row r="234" spans="1:6" x14ac:dyDescent="0.25">
      <c r="A234" t="s">
        <v>69</v>
      </c>
      <c r="B234">
        <v>2</v>
      </c>
      <c r="C234" s="1">
        <v>806107.86</v>
      </c>
      <c r="F234" t="s">
        <v>636</v>
      </c>
    </row>
    <row r="235" spans="1:6" x14ac:dyDescent="0.25">
      <c r="A235" t="s">
        <v>69</v>
      </c>
      <c r="B235">
        <v>3</v>
      </c>
      <c r="C235" s="1">
        <v>806107.86</v>
      </c>
      <c r="F235" t="s">
        <v>636</v>
      </c>
    </row>
    <row r="236" spans="1:6" x14ac:dyDescent="0.25">
      <c r="A236" t="s">
        <v>69</v>
      </c>
      <c r="B236">
        <v>4</v>
      </c>
      <c r="C236" s="1">
        <v>806107.86</v>
      </c>
      <c r="F236" t="s">
        <v>636</v>
      </c>
    </row>
    <row r="237" spans="1:6" x14ac:dyDescent="0.25">
      <c r="A237" t="s">
        <v>261</v>
      </c>
      <c r="B237">
        <v>1</v>
      </c>
      <c r="C237" s="1">
        <v>2423951.92</v>
      </c>
      <c r="F237" t="s">
        <v>636</v>
      </c>
    </row>
    <row r="238" spans="1:6" x14ac:dyDescent="0.25">
      <c r="A238" t="s">
        <v>261</v>
      </c>
      <c r="B238">
        <v>2</v>
      </c>
      <c r="C238" s="1">
        <v>2423951.92</v>
      </c>
      <c r="F238" t="s">
        <v>636</v>
      </c>
    </row>
    <row r="239" spans="1:6" x14ac:dyDescent="0.25">
      <c r="A239" t="s">
        <v>261</v>
      </c>
      <c r="B239">
        <v>3</v>
      </c>
      <c r="C239" s="1">
        <v>1211975.96</v>
      </c>
      <c r="F239" t="s">
        <v>636</v>
      </c>
    </row>
    <row r="240" spans="1:6" x14ac:dyDescent="0.25">
      <c r="A240" t="s">
        <v>265</v>
      </c>
      <c r="B240">
        <v>1</v>
      </c>
      <c r="C240" s="1">
        <v>2154623.92</v>
      </c>
      <c r="F240" t="s">
        <v>636</v>
      </c>
    </row>
    <row r="241" spans="1:6" x14ac:dyDescent="0.25">
      <c r="A241" t="s">
        <v>265</v>
      </c>
      <c r="B241">
        <v>2</v>
      </c>
      <c r="C241" s="1">
        <v>2154623.92</v>
      </c>
      <c r="F241" t="s">
        <v>636</v>
      </c>
    </row>
    <row r="242" spans="1:6" x14ac:dyDescent="0.25">
      <c r="A242" t="s">
        <v>265</v>
      </c>
      <c r="B242">
        <v>3</v>
      </c>
      <c r="C242" s="1">
        <v>2154623.9300000002</v>
      </c>
      <c r="F242" t="s">
        <v>636</v>
      </c>
    </row>
    <row r="243" spans="1:6" x14ac:dyDescent="0.25">
      <c r="A243" t="s">
        <v>529</v>
      </c>
      <c r="B243">
        <v>1</v>
      </c>
      <c r="C243" s="1">
        <v>2154623.9300000002</v>
      </c>
      <c r="F243" t="s">
        <v>636</v>
      </c>
    </row>
    <row r="244" spans="1:6" x14ac:dyDescent="0.25">
      <c r="A244" t="s">
        <v>529</v>
      </c>
      <c r="B244">
        <v>2</v>
      </c>
      <c r="C244" s="1">
        <v>2154623.9300000002</v>
      </c>
      <c r="F244" t="s">
        <v>636</v>
      </c>
    </row>
    <row r="245" spans="1:6" x14ac:dyDescent="0.25">
      <c r="A245" t="s">
        <v>529</v>
      </c>
      <c r="B245">
        <v>3</v>
      </c>
      <c r="C245" s="1">
        <v>2154623.92</v>
      </c>
      <c r="F245" t="s">
        <v>636</v>
      </c>
    </row>
    <row r="246" spans="1:6" x14ac:dyDescent="0.25">
      <c r="A246" t="s">
        <v>270</v>
      </c>
      <c r="B246">
        <v>1</v>
      </c>
      <c r="C246" s="1">
        <v>2154623.92</v>
      </c>
      <c r="F246" t="s">
        <v>636</v>
      </c>
    </row>
    <row r="247" spans="1:6" x14ac:dyDescent="0.25">
      <c r="A247" t="s">
        <v>270</v>
      </c>
      <c r="B247">
        <v>2</v>
      </c>
      <c r="C247" s="1">
        <v>2154623.92</v>
      </c>
      <c r="F247" t="s">
        <v>636</v>
      </c>
    </row>
    <row r="248" spans="1:6" x14ac:dyDescent="0.25">
      <c r="A248" t="s">
        <v>270</v>
      </c>
      <c r="B248">
        <v>3</v>
      </c>
      <c r="C248" s="1">
        <v>2154623.9300000002</v>
      </c>
      <c r="F248" t="s">
        <v>636</v>
      </c>
    </row>
    <row r="249" spans="1:6" x14ac:dyDescent="0.25">
      <c r="A249" t="s">
        <v>534</v>
      </c>
      <c r="B249">
        <v>1</v>
      </c>
      <c r="C249" s="1">
        <v>2154623.9300000002</v>
      </c>
      <c r="F249" t="s">
        <v>636</v>
      </c>
    </row>
    <row r="250" spans="1:6" x14ac:dyDescent="0.25">
      <c r="A250" t="s">
        <v>534</v>
      </c>
      <c r="B250">
        <v>2</v>
      </c>
      <c r="C250" s="1">
        <v>2154623.92</v>
      </c>
      <c r="F250" t="s">
        <v>636</v>
      </c>
    </row>
    <row r="251" spans="1:6" x14ac:dyDescent="0.25">
      <c r="A251" t="s">
        <v>534</v>
      </c>
      <c r="B251">
        <v>3</v>
      </c>
      <c r="C251" s="1">
        <v>2154623.92</v>
      </c>
      <c r="F251" t="s">
        <v>636</v>
      </c>
    </row>
    <row r="252" spans="1:6" x14ac:dyDescent="0.25">
      <c r="A252" t="s">
        <v>275</v>
      </c>
      <c r="B252">
        <v>1</v>
      </c>
      <c r="C252" s="1">
        <v>2154623.92</v>
      </c>
      <c r="F252" t="s">
        <v>636</v>
      </c>
    </row>
    <row r="253" spans="1:6" x14ac:dyDescent="0.25">
      <c r="A253" t="s">
        <v>275</v>
      </c>
      <c r="B253">
        <v>2</v>
      </c>
      <c r="C253" s="1">
        <v>2154623.92</v>
      </c>
      <c r="F253" t="s">
        <v>636</v>
      </c>
    </row>
    <row r="254" spans="1:6" x14ac:dyDescent="0.25">
      <c r="A254" t="s">
        <v>275</v>
      </c>
      <c r="B254">
        <v>3</v>
      </c>
      <c r="C254" s="1">
        <v>2154623.9300000002</v>
      </c>
      <c r="F254" t="s">
        <v>636</v>
      </c>
    </row>
    <row r="255" spans="1:6" x14ac:dyDescent="0.25">
      <c r="A255" t="s">
        <v>537</v>
      </c>
      <c r="B255">
        <v>1</v>
      </c>
      <c r="C255" s="1">
        <v>384743.6</v>
      </c>
      <c r="F255" t="s">
        <v>636</v>
      </c>
    </row>
    <row r="256" spans="1:6" x14ac:dyDescent="0.25">
      <c r="A256" t="s">
        <v>537</v>
      </c>
      <c r="B256">
        <v>2</v>
      </c>
      <c r="C256" s="1">
        <v>1462025.71</v>
      </c>
      <c r="F256" t="s">
        <v>636</v>
      </c>
    </row>
    <row r="257" spans="1:6" x14ac:dyDescent="0.25">
      <c r="A257" t="s">
        <v>537</v>
      </c>
      <c r="B257">
        <v>3</v>
      </c>
      <c r="C257" s="1">
        <v>1462025.71</v>
      </c>
      <c r="F257" t="s">
        <v>636</v>
      </c>
    </row>
    <row r="258" spans="1:6" x14ac:dyDescent="0.25">
      <c r="A258" t="s">
        <v>537</v>
      </c>
      <c r="B258">
        <v>4</v>
      </c>
      <c r="C258" s="1">
        <v>1462025.71</v>
      </c>
      <c r="F258" t="s">
        <v>636</v>
      </c>
    </row>
    <row r="259" spans="1:6" x14ac:dyDescent="0.25">
      <c r="A259" t="s">
        <v>537</v>
      </c>
      <c r="B259">
        <v>5</v>
      </c>
      <c r="C259" s="1">
        <v>1462025.71</v>
      </c>
      <c r="F259" t="s">
        <v>636</v>
      </c>
    </row>
    <row r="260" spans="1:6" x14ac:dyDescent="0.25">
      <c r="A260" t="s">
        <v>537</v>
      </c>
      <c r="B260">
        <v>6</v>
      </c>
      <c r="C260" s="1">
        <v>1462025.71</v>
      </c>
      <c r="F260" t="s">
        <v>636</v>
      </c>
    </row>
    <row r="261" spans="1:6" x14ac:dyDescent="0.25">
      <c r="A261" t="s">
        <v>74</v>
      </c>
      <c r="B261">
        <v>1</v>
      </c>
      <c r="C261" s="1">
        <v>491845.65</v>
      </c>
      <c r="F261" t="s">
        <v>636</v>
      </c>
    </row>
    <row r="262" spans="1:6" x14ac:dyDescent="0.25">
      <c r="A262" t="s">
        <v>74</v>
      </c>
      <c r="B262">
        <v>2</v>
      </c>
      <c r="C262" s="1">
        <v>491845.65</v>
      </c>
      <c r="F262" t="s">
        <v>636</v>
      </c>
    </row>
    <row r="263" spans="1:6" x14ac:dyDescent="0.25">
      <c r="A263" t="s">
        <v>74</v>
      </c>
      <c r="B263">
        <v>3</v>
      </c>
      <c r="C263" s="1">
        <v>491845.65</v>
      </c>
      <c r="F263" t="s">
        <v>636</v>
      </c>
    </row>
    <row r="264" spans="1:6" x14ac:dyDescent="0.25">
      <c r="A264" t="s">
        <v>279</v>
      </c>
      <c r="B264">
        <v>1</v>
      </c>
      <c r="C264" s="1">
        <v>2154623.9300000002</v>
      </c>
      <c r="F264" t="s">
        <v>636</v>
      </c>
    </row>
    <row r="265" spans="1:6" x14ac:dyDescent="0.25">
      <c r="A265" t="s">
        <v>279</v>
      </c>
      <c r="B265">
        <v>2</v>
      </c>
      <c r="C265" s="1">
        <v>2154623.9300000002</v>
      </c>
      <c r="F265" t="s">
        <v>636</v>
      </c>
    </row>
    <row r="266" spans="1:6" x14ac:dyDescent="0.25">
      <c r="A266" t="s">
        <v>279</v>
      </c>
      <c r="B266">
        <v>3</v>
      </c>
      <c r="C266" s="1">
        <v>2154623.92</v>
      </c>
      <c r="F266" t="s">
        <v>636</v>
      </c>
    </row>
    <row r="267" spans="1:6" x14ac:dyDescent="0.25">
      <c r="A267" t="s">
        <v>542</v>
      </c>
      <c r="B267">
        <v>1</v>
      </c>
      <c r="C267" s="1">
        <v>213657.56</v>
      </c>
      <c r="F267" t="s">
        <v>636</v>
      </c>
    </row>
    <row r="268" spans="1:6" x14ac:dyDescent="0.25">
      <c r="A268" t="s">
        <v>542</v>
      </c>
      <c r="B268">
        <v>2</v>
      </c>
      <c r="C268" s="1">
        <v>676582.29</v>
      </c>
      <c r="F268" t="s">
        <v>636</v>
      </c>
    </row>
    <row r="269" spans="1:6" x14ac:dyDescent="0.25">
      <c r="A269" t="s">
        <v>542</v>
      </c>
      <c r="B269">
        <v>3</v>
      </c>
      <c r="C269" s="1">
        <v>676582.29</v>
      </c>
      <c r="F269" t="s">
        <v>636</v>
      </c>
    </row>
    <row r="270" spans="1:6" x14ac:dyDescent="0.25">
      <c r="A270" t="s">
        <v>542</v>
      </c>
      <c r="B270">
        <v>4</v>
      </c>
      <c r="C270" s="1">
        <v>676582.29</v>
      </c>
      <c r="F270" t="s">
        <v>636</v>
      </c>
    </row>
    <row r="271" spans="1:6" x14ac:dyDescent="0.25">
      <c r="A271" t="s">
        <v>542</v>
      </c>
      <c r="B271">
        <v>5</v>
      </c>
      <c r="C271" s="1">
        <v>676582.29</v>
      </c>
      <c r="F271" t="s">
        <v>636</v>
      </c>
    </row>
    <row r="272" spans="1:6" x14ac:dyDescent="0.25">
      <c r="A272" t="s">
        <v>542</v>
      </c>
      <c r="B272">
        <v>6</v>
      </c>
      <c r="C272" s="1">
        <v>676582.29</v>
      </c>
      <c r="F272" t="s">
        <v>636</v>
      </c>
    </row>
    <row r="273" spans="1:6" x14ac:dyDescent="0.25">
      <c r="A273" t="s">
        <v>542</v>
      </c>
      <c r="B273">
        <v>7</v>
      </c>
      <c r="C273" s="1">
        <v>676582.27</v>
      </c>
      <c r="F273" t="s">
        <v>636</v>
      </c>
    </row>
    <row r="274" spans="1:6" x14ac:dyDescent="0.25">
      <c r="A274" t="s">
        <v>283</v>
      </c>
      <c r="B274">
        <v>1</v>
      </c>
      <c r="C274" s="1">
        <v>2175958.52</v>
      </c>
      <c r="D274" s="1">
        <v>2175958.52</v>
      </c>
      <c r="F274" t="s">
        <v>635</v>
      </c>
    </row>
    <row r="275" spans="1:6" x14ac:dyDescent="0.25">
      <c r="A275" t="s">
        <v>283</v>
      </c>
      <c r="B275">
        <v>2</v>
      </c>
      <c r="C275" s="1">
        <v>2175958.52</v>
      </c>
      <c r="D275" s="1">
        <v>2175958.52</v>
      </c>
      <c r="F275" t="s">
        <v>635</v>
      </c>
    </row>
    <row r="276" spans="1:6" x14ac:dyDescent="0.25">
      <c r="A276" t="s">
        <v>283</v>
      </c>
      <c r="B276">
        <v>3</v>
      </c>
      <c r="C276" s="1">
        <v>2175958.52</v>
      </c>
      <c r="F276" t="s">
        <v>636</v>
      </c>
    </row>
    <row r="277" spans="1:6" x14ac:dyDescent="0.25">
      <c r="A277" t="s">
        <v>545</v>
      </c>
      <c r="B277">
        <v>1</v>
      </c>
      <c r="C277" s="1">
        <v>21535.85</v>
      </c>
      <c r="D277" s="1">
        <v>21535.85</v>
      </c>
      <c r="F277" t="s">
        <v>635</v>
      </c>
    </row>
    <row r="278" spans="1:6" x14ac:dyDescent="0.25">
      <c r="A278" t="s">
        <v>545</v>
      </c>
      <c r="B278">
        <v>2</v>
      </c>
      <c r="C278" s="1">
        <v>204590.59</v>
      </c>
      <c r="D278" s="1">
        <v>204590.59</v>
      </c>
      <c r="F278" t="s">
        <v>635</v>
      </c>
    </row>
    <row r="279" spans="1:6" x14ac:dyDescent="0.25">
      <c r="A279" t="s">
        <v>545</v>
      </c>
      <c r="B279">
        <v>3</v>
      </c>
      <c r="C279" s="1">
        <v>204590.61</v>
      </c>
      <c r="F279" t="s">
        <v>636</v>
      </c>
    </row>
    <row r="280" spans="1:6" x14ac:dyDescent="0.25">
      <c r="A280" t="s">
        <v>79</v>
      </c>
      <c r="B280">
        <v>1</v>
      </c>
      <c r="C280" s="1">
        <v>748439.29</v>
      </c>
      <c r="D280" s="1">
        <v>748439.29</v>
      </c>
      <c r="F280" t="s">
        <v>635</v>
      </c>
    </row>
    <row r="281" spans="1:6" x14ac:dyDescent="0.25">
      <c r="A281" t="s">
        <v>79</v>
      </c>
      <c r="B281">
        <v>2</v>
      </c>
      <c r="C281" s="1">
        <v>748439.29</v>
      </c>
      <c r="D281" s="1">
        <v>748439.29</v>
      </c>
      <c r="F281" t="s">
        <v>635</v>
      </c>
    </row>
    <row r="282" spans="1:6" x14ac:dyDescent="0.25">
      <c r="A282" t="s">
        <v>79</v>
      </c>
      <c r="B282">
        <v>3</v>
      </c>
      <c r="C282" s="1">
        <v>748439.29</v>
      </c>
      <c r="D282" s="1">
        <v>748439.29</v>
      </c>
      <c r="F282" t="s">
        <v>635</v>
      </c>
    </row>
    <row r="283" spans="1:6" x14ac:dyDescent="0.25">
      <c r="A283" t="s">
        <v>79</v>
      </c>
      <c r="B283">
        <v>4</v>
      </c>
      <c r="C283" s="1">
        <v>748439.29</v>
      </c>
      <c r="F283" t="s">
        <v>636</v>
      </c>
    </row>
    <row r="284" spans="1:6" x14ac:dyDescent="0.25">
      <c r="A284" t="s">
        <v>79</v>
      </c>
      <c r="B284">
        <v>5</v>
      </c>
      <c r="C284" s="1">
        <v>748439.29</v>
      </c>
      <c r="D284" s="1">
        <v>748439.29</v>
      </c>
      <c r="F284" t="s">
        <v>635</v>
      </c>
    </row>
    <row r="285" spans="1:6" x14ac:dyDescent="0.25">
      <c r="A285" t="s">
        <v>79</v>
      </c>
      <c r="B285">
        <v>6</v>
      </c>
      <c r="C285" s="1">
        <v>748439.26</v>
      </c>
      <c r="D285" s="1">
        <v>748439.26</v>
      </c>
      <c r="F285" t="s">
        <v>635</v>
      </c>
    </row>
    <row r="286" spans="1:6" x14ac:dyDescent="0.25">
      <c r="A286" t="s">
        <v>286</v>
      </c>
      <c r="B286">
        <v>1</v>
      </c>
      <c r="C286" s="1">
        <v>2154623.92</v>
      </c>
      <c r="F286" t="s">
        <v>636</v>
      </c>
    </row>
    <row r="287" spans="1:6" x14ac:dyDescent="0.25">
      <c r="A287" t="s">
        <v>286</v>
      </c>
      <c r="B287">
        <v>2</v>
      </c>
      <c r="C287" s="1">
        <v>2154623.92</v>
      </c>
      <c r="F287" t="s">
        <v>636</v>
      </c>
    </row>
    <row r="288" spans="1:6" x14ac:dyDescent="0.25">
      <c r="A288" t="s">
        <v>286</v>
      </c>
      <c r="B288">
        <v>3</v>
      </c>
      <c r="C288" s="1">
        <v>2154623.9300000002</v>
      </c>
      <c r="F288" t="s">
        <v>636</v>
      </c>
    </row>
    <row r="289" spans="1:6" x14ac:dyDescent="0.25">
      <c r="A289" t="s">
        <v>548</v>
      </c>
      <c r="B289">
        <v>1</v>
      </c>
      <c r="C289" s="1">
        <v>320135.96999999997</v>
      </c>
      <c r="F289" t="s">
        <v>636</v>
      </c>
    </row>
    <row r="290" spans="1:6" x14ac:dyDescent="0.25">
      <c r="A290" t="s">
        <v>548</v>
      </c>
      <c r="B290">
        <v>2</v>
      </c>
      <c r="C290" s="1">
        <v>1216516.68</v>
      </c>
      <c r="F290" t="s">
        <v>636</v>
      </c>
    </row>
    <row r="291" spans="1:6" x14ac:dyDescent="0.25">
      <c r="A291" t="s">
        <v>548</v>
      </c>
      <c r="B291">
        <v>3</v>
      </c>
      <c r="C291" s="1">
        <v>1216516.68</v>
      </c>
      <c r="F291" t="s">
        <v>636</v>
      </c>
    </row>
    <row r="292" spans="1:6" x14ac:dyDescent="0.25">
      <c r="A292" t="s">
        <v>548</v>
      </c>
      <c r="B292">
        <v>4</v>
      </c>
      <c r="C292" s="1">
        <v>1216516.68</v>
      </c>
      <c r="F292" t="s">
        <v>636</v>
      </c>
    </row>
    <row r="293" spans="1:6" x14ac:dyDescent="0.25">
      <c r="A293" t="s">
        <v>548</v>
      </c>
      <c r="B293">
        <v>5</v>
      </c>
      <c r="C293" s="1">
        <v>1216516.68</v>
      </c>
      <c r="F293" t="s">
        <v>636</v>
      </c>
    </row>
    <row r="294" spans="1:6" x14ac:dyDescent="0.25">
      <c r="A294" t="s">
        <v>548</v>
      </c>
      <c r="B294">
        <v>6</v>
      </c>
      <c r="C294" s="1">
        <v>1216516.69</v>
      </c>
      <c r="F294" t="s">
        <v>636</v>
      </c>
    </row>
    <row r="295" spans="1:6" x14ac:dyDescent="0.25">
      <c r="A295" t="s">
        <v>84</v>
      </c>
      <c r="B295">
        <v>1</v>
      </c>
      <c r="C295" s="1">
        <v>588355.37</v>
      </c>
      <c r="D295" s="1">
        <v>588355.37</v>
      </c>
      <c r="F295" t="s">
        <v>635</v>
      </c>
    </row>
    <row r="296" spans="1:6" x14ac:dyDescent="0.25">
      <c r="A296" t="s">
        <v>84</v>
      </c>
      <c r="B296">
        <v>2</v>
      </c>
      <c r="C296" s="1">
        <v>588355.37</v>
      </c>
      <c r="D296" s="1">
        <v>588355.37</v>
      </c>
      <c r="F296" t="s">
        <v>635</v>
      </c>
    </row>
    <row r="297" spans="1:6" x14ac:dyDescent="0.25">
      <c r="A297" t="s">
        <v>84</v>
      </c>
      <c r="B297">
        <v>3</v>
      </c>
      <c r="C297" s="1">
        <v>588355.37</v>
      </c>
      <c r="D297" s="1">
        <v>588355.37</v>
      </c>
      <c r="F297" t="s">
        <v>635</v>
      </c>
    </row>
    <row r="298" spans="1:6" x14ac:dyDescent="0.25">
      <c r="A298" t="s">
        <v>84</v>
      </c>
      <c r="B298">
        <v>4</v>
      </c>
      <c r="C298" s="1">
        <v>588355.38</v>
      </c>
      <c r="D298" s="1">
        <v>588355.38</v>
      </c>
      <c r="F298" t="s">
        <v>635</v>
      </c>
    </row>
    <row r="299" spans="1:6" x14ac:dyDescent="0.25">
      <c r="A299" t="s">
        <v>290</v>
      </c>
      <c r="B299">
        <v>1</v>
      </c>
      <c r="C299" s="1">
        <v>2154623.92</v>
      </c>
      <c r="D299" s="1">
        <v>2154623.92</v>
      </c>
      <c r="F299" t="s">
        <v>635</v>
      </c>
    </row>
    <row r="300" spans="1:6" x14ac:dyDescent="0.25">
      <c r="A300" t="s">
        <v>290</v>
      </c>
      <c r="B300">
        <v>2</v>
      </c>
      <c r="C300" s="1">
        <v>2154623.92</v>
      </c>
      <c r="D300" s="1">
        <v>2154623.92</v>
      </c>
      <c r="F300" t="s">
        <v>635</v>
      </c>
    </row>
    <row r="301" spans="1:6" x14ac:dyDescent="0.25">
      <c r="A301" t="s">
        <v>290</v>
      </c>
      <c r="B301">
        <v>3</v>
      </c>
      <c r="C301" s="1">
        <v>2154623.9300000002</v>
      </c>
      <c r="D301" s="1">
        <v>2154623.9300000002</v>
      </c>
      <c r="F301" t="s">
        <v>635</v>
      </c>
    </row>
    <row r="302" spans="1:6" x14ac:dyDescent="0.25">
      <c r="A302" t="s">
        <v>551</v>
      </c>
      <c r="B302">
        <v>1</v>
      </c>
      <c r="C302" s="1">
        <v>177213.95</v>
      </c>
      <c r="F302" t="s">
        <v>636</v>
      </c>
    </row>
    <row r="303" spans="1:6" x14ac:dyDescent="0.25">
      <c r="A303" t="s">
        <v>551</v>
      </c>
      <c r="B303">
        <v>2</v>
      </c>
      <c r="C303" s="1">
        <v>841766.24</v>
      </c>
      <c r="F303" t="s">
        <v>636</v>
      </c>
    </row>
    <row r="304" spans="1:6" x14ac:dyDescent="0.25">
      <c r="A304" t="s">
        <v>551</v>
      </c>
      <c r="B304">
        <v>3</v>
      </c>
      <c r="C304" s="1">
        <v>841766.24</v>
      </c>
      <c r="F304" t="s">
        <v>636</v>
      </c>
    </row>
    <row r="305" spans="1:6" x14ac:dyDescent="0.25">
      <c r="A305" t="s">
        <v>551</v>
      </c>
      <c r="B305">
        <v>4</v>
      </c>
      <c r="C305" s="1">
        <v>841766.24</v>
      </c>
      <c r="F305" t="s">
        <v>636</v>
      </c>
    </row>
    <row r="306" spans="1:6" x14ac:dyDescent="0.25">
      <c r="A306" t="s">
        <v>551</v>
      </c>
      <c r="B306">
        <v>5</v>
      </c>
      <c r="C306" s="1">
        <v>841766.24</v>
      </c>
      <c r="F306" t="s">
        <v>636</v>
      </c>
    </row>
    <row r="307" spans="1:6" x14ac:dyDescent="0.25">
      <c r="A307" t="s">
        <v>554</v>
      </c>
      <c r="B307">
        <v>1</v>
      </c>
      <c r="C307" s="1">
        <v>280381.84000000003</v>
      </c>
      <c r="F307" t="s">
        <v>636</v>
      </c>
    </row>
    <row r="308" spans="1:6" x14ac:dyDescent="0.25">
      <c r="A308" t="s">
        <v>554</v>
      </c>
      <c r="B308">
        <v>2</v>
      </c>
      <c r="C308" s="1">
        <v>1065451.02</v>
      </c>
      <c r="F308" t="s">
        <v>636</v>
      </c>
    </row>
    <row r="309" spans="1:6" x14ac:dyDescent="0.25">
      <c r="A309" t="s">
        <v>554</v>
      </c>
      <c r="B309">
        <v>3</v>
      </c>
      <c r="C309" s="1">
        <v>1065451</v>
      </c>
      <c r="F309" t="s">
        <v>636</v>
      </c>
    </row>
    <row r="310" spans="1:6" x14ac:dyDescent="0.25">
      <c r="A310" t="s">
        <v>554</v>
      </c>
      <c r="B310">
        <v>4</v>
      </c>
      <c r="C310" s="1">
        <v>1065451</v>
      </c>
      <c r="F310" t="s">
        <v>636</v>
      </c>
    </row>
    <row r="311" spans="1:6" x14ac:dyDescent="0.25">
      <c r="A311" t="s">
        <v>554</v>
      </c>
      <c r="B311">
        <v>5</v>
      </c>
      <c r="C311" s="1">
        <v>1065451</v>
      </c>
      <c r="F311" t="s">
        <v>636</v>
      </c>
    </row>
    <row r="312" spans="1:6" x14ac:dyDescent="0.25">
      <c r="A312" t="s">
        <v>554</v>
      </c>
      <c r="B312">
        <v>6</v>
      </c>
      <c r="C312" s="1">
        <v>1065451</v>
      </c>
      <c r="F312" t="s">
        <v>636</v>
      </c>
    </row>
    <row r="313" spans="1:6" x14ac:dyDescent="0.25">
      <c r="A313" t="s">
        <v>89</v>
      </c>
      <c r="B313">
        <v>1</v>
      </c>
      <c r="C313" s="1">
        <v>318950.31</v>
      </c>
      <c r="D313" s="1">
        <v>318950.31</v>
      </c>
      <c r="F313" t="s">
        <v>635</v>
      </c>
    </row>
    <row r="314" spans="1:6" x14ac:dyDescent="0.25">
      <c r="A314" t="s">
        <v>89</v>
      </c>
      <c r="B314">
        <v>2</v>
      </c>
      <c r="C314" s="1">
        <v>318950.31</v>
      </c>
      <c r="D314" s="1">
        <v>318950.31</v>
      </c>
      <c r="F314" t="s">
        <v>635</v>
      </c>
    </row>
    <row r="315" spans="1:6" x14ac:dyDescent="0.25">
      <c r="A315" t="s">
        <v>89</v>
      </c>
      <c r="B315">
        <v>3</v>
      </c>
      <c r="C315" s="1">
        <v>318950.31</v>
      </c>
      <c r="D315" s="1">
        <v>318950.31</v>
      </c>
      <c r="F315" t="s">
        <v>635</v>
      </c>
    </row>
    <row r="316" spans="1:6" x14ac:dyDescent="0.25">
      <c r="A316" t="s">
        <v>89</v>
      </c>
      <c r="B316">
        <v>4</v>
      </c>
      <c r="C316" s="1">
        <v>318950.32</v>
      </c>
      <c r="D316" s="1">
        <v>318950.31</v>
      </c>
      <c r="F316" t="s">
        <v>635</v>
      </c>
    </row>
    <row r="317" spans="1:6" x14ac:dyDescent="0.25">
      <c r="A317" t="s">
        <v>89</v>
      </c>
      <c r="B317">
        <v>5</v>
      </c>
      <c r="C317" s="1">
        <v>318950.32</v>
      </c>
      <c r="D317" s="1">
        <v>318950.31</v>
      </c>
      <c r="F317" t="s">
        <v>635</v>
      </c>
    </row>
    <row r="318" spans="1:6" x14ac:dyDescent="0.25">
      <c r="A318" t="s">
        <v>89</v>
      </c>
      <c r="B318">
        <v>6</v>
      </c>
      <c r="C318" s="1">
        <v>318950.32</v>
      </c>
      <c r="F318" t="s">
        <v>636</v>
      </c>
    </row>
    <row r="319" spans="1:6" x14ac:dyDescent="0.25">
      <c r="A319" t="s">
        <v>94</v>
      </c>
      <c r="B319">
        <v>1</v>
      </c>
      <c r="C319" s="1">
        <v>569547.17000000004</v>
      </c>
      <c r="D319" s="1">
        <v>569547.17000000004</v>
      </c>
      <c r="F319" t="s">
        <v>635</v>
      </c>
    </row>
    <row r="320" spans="1:6" x14ac:dyDescent="0.25">
      <c r="A320" t="s">
        <v>94</v>
      </c>
      <c r="B320">
        <v>2</v>
      </c>
      <c r="C320" s="1">
        <v>455637.74</v>
      </c>
      <c r="D320" s="1">
        <v>455637.74</v>
      </c>
      <c r="F320" t="s">
        <v>635</v>
      </c>
    </row>
    <row r="321" spans="1:6" x14ac:dyDescent="0.25">
      <c r="A321" t="s">
        <v>94</v>
      </c>
      <c r="B321">
        <v>3</v>
      </c>
      <c r="C321" s="1">
        <v>455637.74</v>
      </c>
      <c r="D321" s="1">
        <v>455637.74</v>
      </c>
      <c r="F321" t="s">
        <v>635</v>
      </c>
    </row>
    <row r="322" spans="1:6" x14ac:dyDescent="0.25">
      <c r="A322" t="s">
        <v>94</v>
      </c>
      <c r="B322">
        <v>4</v>
      </c>
      <c r="C322" s="1">
        <v>455637.74</v>
      </c>
      <c r="F322" t="s">
        <v>636</v>
      </c>
    </row>
    <row r="323" spans="1:6" x14ac:dyDescent="0.25">
      <c r="A323" t="s">
        <v>94</v>
      </c>
      <c r="B323">
        <v>5</v>
      </c>
      <c r="C323" s="1">
        <v>455637.74</v>
      </c>
      <c r="D323" s="1">
        <v>455637.74</v>
      </c>
      <c r="F323" t="s">
        <v>635</v>
      </c>
    </row>
    <row r="324" spans="1:6" x14ac:dyDescent="0.25">
      <c r="A324" t="s">
        <v>94</v>
      </c>
      <c r="B324">
        <v>6</v>
      </c>
      <c r="C324" s="1">
        <v>455637.74</v>
      </c>
      <c r="D324" s="1">
        <v>455637.74</v>
      </c>
      <c r="F324" t="s">
        <v>635</v>
      </c>
    </row>
    <row r="325" spans="1:6" x14ac:dyDescent="0.25">
      <c r="A325" t="s">
        <v>561</v>
      </c>
      <c r="B325">
        <v>1</v>
      </c>
      <c r="C325" s="1">
        <v>210323.21</v>
      </c>
      <c r="D325" s="1">
        <v>210323.21</v>
      </c>
      <c r="F325" t="s">
        <v>635</v>
      </c>
    </row>
    <row r="326" spans="1:6" x14ac:dyDescent="0.25">
      <c r="A326" t="s">
        <v>561</v>
      </c>
      <c r="B326">
        <v>2</v>
      </c>
      <c r="C326" s="1">
        <v>999035.25</v>
      </c>
      <c r="D326" s="1">
        <v>999035.25</v>
      </c>
      <c r="F326" t="s">
        <v>635</v>
      </c>
    </row>
    <row r="327" spans="1:6" x14ac:dyDescent="0.25">
      <c r="A327" t="s">
        <v>561</v>
      </c>
      <c r="B327">
        <v>3</v>
      </c>
      <c r="C327" s="1">
        <v>999035.25</v>
      </c>
      <c r="F327" t="s">
        <v>636</v>
      </c>
    </row>
    <row r="328" spans="1:6" x14ac:dyDescent="0.25">
      <c r="A328" t="s">
        <v>561</v>
      </c>
      <c r="B328">
        <v>4</v>
      </c>
      <c r="C328" s="1">
        <v>999035.25</v>
      </c>
      <c r="F328" t="s">
        <v>636</v>
      </c>
    </row>
    <row r="329" spans="1:6" x14ac:dyDescent="0.25">
      <c r="A329" t="s">
        <v>561</v>
      </c>
      <c r="B329">
        <v>5</v>
      </c>
      <c r="C329" s="1">
        <v>999035.24</v>
      </c>
      <c r="F329" t="s">
        <v>636</v>
      </c>
    </row>
    <row r="330" spans="1:6" x14ac:dyDescent="0.25">
      <c r="A330" t="s">
        <v>97</v>
      </c>
      <c r="B330">
        <v>1</v>
      </c>
      <c r="C330" s="1">
        <v>421123.74</v>
      </c>
      <c r="D330" s="1">
        <v>421123.74</v>
      </c>
      <c r="F330" t="s">
        <v>635</v>
      </c>
    </row>
    <row r="331" spans="1:6" x14ac:dyDescent="0.25">
      <c r="A331" t="s">
        <v>97</v>
      </c>
      <c r="B331">
        <v>2</v>
      </c>
      <c r="C331" s="1">
        <v>336899</v>
      </c>
      <c r="D331" s="1">
        <v>336899</v>
      </c>
      <c r="F331" t="s">
        <v>635</v>
      </c>
    </row>
    <row r="332" spans="1:6" x14ac:dyDescent="0.25">
      <c r="A332" t="s">
        <v>97</v>
      </c>
      <c r="B332">
        <v>3</v>
      </c>
      <c r="C332" s="1">
        <v>336899</v>
      </c>
      <c r="D332" s="1">
        <v>336899</v>
      </c>
      <c r="F332" t="s">
        <v>635</v>
      </c>
    </row>
    <row r="333" spans="1:6" x14ac:dyDescent="0.25">
      <c r="A333" t="s">
        <v>97</v>
      </c>
      <c r="B333">
        <v>4</v>
      </c>
      <c r="C333" s="1">
        <v>336899</v>
      </c>
      <c r="F333" t="s">
        <v>636</v>
      </c>
    </row>
    <row r="334" spans="1:6" x14ac:dyDescent="0.25">
      <c r="A334" t="s">
        <v>97</v>
      </c>
      <c r="B334">
        <v>5</v>
      </c>
      <c r="C334" s="1">
        <v>336899</v>
      </c>
      <c r="D334" s="1">
        <v>336899</v>
      </c>
      <c r="F334" t="s">
        <v>635</v>
      </c>
    </row>
    <row r="335" spans="1:6" x14ac:dyDescent="0.25">
      <c r="A335" t="s">
        <v>97</v>
      </c>
      <c r="B335">
        <v>6</v>
      </c>
      <c r="C335" s="1">
        <v>336899</v>
      </c>
      <c r="D335" s="1">
        <v>336899</v>
      </c>
      <c r="F335" t="s">
        <v>635</v>
      </c>
    </row>
    <row r="336" spans="1:6" x14ac:dyDescent="0.25">
      <c r="A336" t="s">
        <v>564</v>
      </c>
      <c r="B336">
        <v>1</v>
      </c>
      <c r="C336" s="1">
        <v>317733.55</v>
      </c>
      <c r="F336" t="s">
        <v>636</v>
      </c>
    </row>
    <row r="337" spans="1:6" x14ac:dyDescent="0.25">
      <c r="A337" t="s">
        <v>564</v>
      </c>
      <c r="B337">
        <v>2</v>
      </c>
      <c r="C337" s="1">
        <v>1207387.48</v>
      </c>
      <c r="F337" t="s">
        <v>636</v>
      </c>
    </row>
    <row r="338" spans="1:6" x14ac:dyDescent="0.25">
      <c r="A338" t="s">
        <v>564</v>
      </c>
      <c r="B338">
        <v>3</v>
      </c>
      <c r="C338" s="1">
        <v>1207387.48</v>
      </c>
      <c r="D338" s="1">
        <v>1207387.48</v>
      </c>
      <c r="F338" t="s">
        <v>635</v>
      </c>
    </row>
    <row r="339" spans="1:6" x14ac:dyDescent="0.25">
      <c r="A339" t="s">
        <v>564</v>
      </c>
      <c r="B339">
        <v>4</v>
      </c>
      <c r="C339" s="1">
        <v>1207387.48</v>
      </c>
      <c r="F339" t="s">
        <v>636</v>
      </c>
    </row>
    <row r="340" spans="1:6" x14ac:dyDescent="0.25">
      <c r="A340" t="s">
        <v>564</v>
      </c>
      <c r="B340">
        <v>5</v>
      </c>
      <c r="C340" s="1">
        <v>1207387.48</v>
      </c>
      <c r="F340" t="s">
        <v>636</v>
      </c>
    </row>
    <row r="341" spans="1:6" x14ac:dyDescent="0.25">
      <c r="A341" t="s">
        <v>564</v>
      </c>
      <c r="B341">
        <v>6</v>
      </c>
      <c r="C341" s="1">
        <v>1207387.48</v>
      </c>
      <c r="F341" t="s">
        <v>636</v>
      </c>
    </row>
    <row r="342" spans="1:6" x14ac:dyDescent="0.25">
      <c r="A342" t="s">
        <v>102</v>
      </c>
      <c r="B342">
        <v>1</v>
      </c>
      <c r="C342" s="1">
        <v>902739.63</v>
      </c>
      <c r="D342" s="1">
        <v>902739.63</v>
      </c>
      <c r="F342" t="s">
        <v>635</v>
      </c>
    </row>
    <row r="343" spans="1:6" x14ac:dyDescent="0.25">
      <c r="A343" t="s">
        <v>102</v>
      </c>
      <c r="B343">
        <v>2</v>
      </c>
      <c r="C343" s="1">
        <v>902739.63</v>
      </c>
      <c r="D343" s="1">
        <v>902739.63</v>
      </c>
      <c r="F343" t="s">
        <v>635</v>
      </c>
    </row>
    <row r="344" spans="1:6" x14ac:dyDescent="0.25">
      <c r="A344" t="s">
        <v>102</v>
      </c>
      <c r="B344">
        <v>3</v>
      </c>
      <c r="C344" s="1">
        <v>902739.63</v>
      </c>
      <c r="D344" s="1">
        <v>902739.63</v>
      </c>
      <c r="F344" t="s">
        <v>635</v>
      </c>
    </row>
    <row r="345" spans="1:6" x14ac:dyDescent="0.25">
      <c r="A345" t="s">
        <v>102</v>
      </c>
      <c r="B345">
        <v>4</v>
      </c>
      <c r="C345" s="1">
        <v>902739.63</v>
      </c>
      <c r="D345" s="1">
        <v>902739.63</v>
      </c>
      <c r="F345" t="s">
        <v>635</v>
      </c>
    </row>
    <row r="346" spans="1:6" x14ac:dyDescent="0.25">
      <c r="A346" t="s">
        <v>102</v>
      </c>
      <c r="B346">
        <v>5</v>
      </c>
      <c r="C346" s="1">
        <v>902739.63</v>
      </c>
      <c r="D346" s="1">
        <v>902739.63</v>
      </c>
      <c r="F346" t="s">
        <v>635</v>
      </c>
    </row>
    <row r="347" spans="1:6" x14ac:dyDescent="0.25">
      <c r="A347" t="s">
        <v>102</v>
      </c>
      <c r="B347">
        <v>6</v>
      </c>
      <c r="C347" s="1">
        <v>902739.63</v>
      </c>
      <c r="D347" s="1">
        <v>902739.63</v>
      </c>
      <c r="F347" t="s">
        <v>635</v>
      </c>
    </row>
    <row r="348" spans="1:6" x14ac:dyDescent="0.25">
      <c r="A348" t="s">
        <v>295</v>
      </c>
      <c r="B348">
        <v>1</v>
      </c>
      <c r="C348" s="1">
        <v>2154623.92</v>
      </c>
      <c r="F348" t="s">
        <v>636</v>
      </c>
    </row>
    <row r="349" spans="1:6" x14ac:dyDescent="0.25">
      <c r="A349" t="s">
        <v>295</v>
      </c>
      <c r="B349">
        <v>2</v>
      </c>
      <c r="C349" s="1">
        <v>2154623.92</v>
      </c>
      <c r="F349" t="s">
        <v>636</v>
      </c>
    </row>
    <row r="350" spans="1:6" x14ac:dyDescent="0.25">
      <c r="A350" t="s">
        <v>295</v>
      </c>
      <c r="B350">
        <v>3</v>
      </c>
      <c r="C350" s="1">
        <v>2154623.9300000002</v>
      </c>
      <c r="F350" t="s">
        <v>636</v>
      </c>
    </row>
    <row r="351" spans="1:6" x14ac:dyDescent="0.25">
      <c r="A351" t="s">
        <v>569</v>
      </c>
      <c r="B351">
        <v>1</v>
      </c>
      <c r="C351" s="1">
        <v>343072.34</v>
      </c>
      <c r="D351" s="1">
        <v>343072.34</v>
      </c>
      <c r="F351" t="s">
        <v>635</v>
      </c>
    </row>
    <row r="352" spans="1:6" x14ac:dyDescent="0.25">
      <c r="A352" t="s">
        <v>569</v>
      </c>
      <c r="B352">
        <v>2</v>
      </c>
      <c r="C352" s="1">
        <v>1629593.62</v>
      </c>
      <c r="D352" s="1">
        <v>1629593.62</v>
      </c>
      <c r="F352" t="s">
        <v>635</v>
      </c>
    </row>
    <row r="353" spans="1:6" x14ac:dyDescent="0.25">
      <c r="A353" t="s">
        <v>569</v>
      </c>
      <c r="B353">
        <v>3</v>
      </c>
      <c r="C353" s="1">
        <v>1629593.62</v>
      </c>
      <c r="F353" t="s">
        <v>636</v>
      </c>
    </row>
    <row r="354" spans="1:6" x14ac:dyDescent="0.25">
      <c r="A354" t="s">
        <v>569</v>
      </c>
      <c r="B354">
        <v>4</v>
      </c>
      <c r="C354" s="1">
        <v>1629593.62</v>
      </c>
      <c r="F354" t="s">
        <v>636</v>
      </c>
    </row>
    <row r="355" spans="1:6" x14ac:dyDescent="0.25">
      <c r="A355" t="s">
        <v>569</v>
      </c>
      <c r="B355">
        <v>5</v>
      </c>
      <c r="C355" s="1">
        <v>1629593.6000000001</v>
      </c>
      <c r="F355" t="s">
        <v>636</v>
      </c>
    </row>
    <row r="356" spans="1:6" x14ac:dyDescent="0.25">
      <c r="A356" t="s">
        <v>107</v>
      </c>
      <c r="B356">
        <v>1</v>
      </c>
      <c r="C356" s="1">
        <v>1155154.26</v>
      </c>
      <c r="F356" t="s">
        <v>636</v>
      </c>
    </row>
    <row r="357" spans="1:6" x14ac:dyDescent="0.25">
      <c r="A357" t="s">
        <v>107</v>
      </c>
      <c r="B357">
        <v>2</v>
      </c>
      <c r="C357" s="1">
        <v>1155154.25</v>
      </c>
      <c r="F357" t="s">
        <v>636</v>
      </c>
    </row>
    <row r="358" spans="1:6" x14ac:dyDescent="0.25">
      <c r="A358" t="s">
        <v>107</v>
      </c>
      <c r="B358">
        <v>3</v>
      </c>
      <c r="C358" s="1">
        <v>1155154.25</v>
      </c>
      <c r="F358" t="s">
        <v>636</v>
      </c>
    </row>
    <row r="359" spans="1:6" x14ac:dyDescent="0.25">
      <c r="A359" t="s">
        <v>107</v>
      </c>
      <c r="B359">
        <v>4</v>
      </c>
      <c r="C359" s="1">
        <v>1155154.25</v>
      </c>
      <c r="F359" t="s">
        <v>636</v>
      </c>
    </row>
    <row r="360" spans="1:6" x14ac:dyDescent="0.25">
      <c r="A360" t="s">
        <v>107</v>
      </c>
      <c r="B360">
        <v>5</v>
      </c>
      <c r="C360" s="1">
        <v>1155154.25</v>
      </c>
      <c r="F360" t="s">
        <v>636</v>
      </c>
    </row>
    <row r="361" spans="1:6" x14ac:dyDescent="0.25">
      <c r="A361" t="s">
        <v>107</v>
      </c>
      <c r="B361">
        <v>6</v>
      </c>
      <c r="C361" s="1">
        <v>1155154.25</v>
      </c>
      <c r="F361" t="s">
        <v>636</v>
      </c>
    </row>
    <row r="362" spans="1:6" x14ac:dyDescent="0.25">
      <c r="A362" t="s">
        <v>300</v>
      </c>
      <c r="B362">
        <v>1</v>
      </c>
      <c r="C362" s="1">
        <v>2154623.9300000002</v>
      </c>
      <c r="D362" s="1">
        <v>2154623.9300000002</v>
      </c>
      <c r="F362" t="s">
        <v>635</v>
      </c>
    </row>
    <row r="363" spans="1:6" x14ac:dyDescent="0.25">
      <c r="A363" t="s">
        <v>300</v>
      </c>
      <c r="B363">
        <v>2</v>
      </c>
      <c r="C363" s="1">
        <v>2154623.9300000002</v>
      </c>
      <c r="D363" s="1">
        <v>2154623.9300000002</v>
      </c>
      <c r="F363" t="s">
        <v>635</v>
      </c>
    </row>
    <row r="364" spans="1:6" x14ac:dyDescent="0.25">
      <c r="A364" t="s">
        <v>300</v>
      </c>
      <c r="B364">
        <v>3</v>
      </c>
      <c r="C364" s="1">
        <v>2154623.92</v>
      </c>
      <c r="D364" s="1">
        <v>2154623.92</v>
      </c>
      <c r="F364" t="s">
        <v>635</v>
      </c>
    </row>
    <row r="365" spans="1:6" x14ac:dyDescent="0.25">
      <c r="A365" t="s">
        <v>300</v>
      </c>
      <c r="B365">
        <v>4</v>
      </c>
      <c r="C365" s="37">
        <v>659331.79</v>
      </c>
      <c r="D365" s="37">
        <v>659331.79</v>
      </c>
      <c r="F365" t="s">
        <v>635</v>
      </c>
    </row>
    <row r="366" spans="1:6" x14ac:dyDescent="0.25">
      <c r="A366" t="s">
        <v>574</v>
      </c>
      <c r="B366">
        <v>1</v>
      </c>
      <c r="C366" s="1">
        <v>194380.2</v>
      </c>
      <c r="F366" t="s">
        <v>636</v>
      </c>
    </row>
    <row r="367" spans="1:6" x14ac:dyDescent="0.25">
      <c r="A367" t="s">
        <v>574</v>
      </c>
      <c r="B367">
        <v>2</v>
      </c>
      <c r="C367" s="1">
        <v>923305.95</v>
      </c>
      <c r="F367" t="s">
        <v>636</v>
      </c>
    </row>
    <row r="368" spans="1:6" x14ac:dyDescent="0.25">
      <c r="A368" t="s">
        <v>574</v>
      </c>
      <c r="B368">
        <v>3</v>
      </c>
      <c r="C368" s="1">
        <v>923305.95</v>
      </c>
      <c r="F368" t="s">
        <v>636</v>
      </c>
    </row>
    <row r="369" spans="1:6" x14ac:dyDescent="0.25">
      <c r="A369" t="s">
        <v>574</v>
      </c>
      <c r="B369">
        <v>4</v>
      </c>
      <c r="C369" s="1">
        <v>923305.94</v>
      </c>
      <c r="F369" t="s">
        <v>636</v>
      </c>
    </row>
    <row r="370" spans="1:6" x14ac:dyDescent="0.25">
      <c r="A370" t="s">
        <v>574</v>
      </c>
      <c r="B370">
        <v>5</v>
      </c>
      <c r="C370" s="1">
        <v>923305.94</v>
      </c>
      <c r="F370" t="s">
        <v>636</v>
      </c>
    </row>
    <row r="371" spans="1:6" x14ac:dyDescent="0.25">
      <c r="A371" t="s">
        <v>303</v>
      </c>
      <c r="B371">
        <v>1</v>
      </c>
      <c r="C371" s="1">
        <v>2165291.23</v>
      </c>
      <c r="D371" s="1">
        <v>2165291.23</v>
      </c>
      <c r="F371" t="s">
        <v>635</v>
      </c>
    </row>
    <row r="372" spans="1:6" x14ac:dyDescent="0.25">
      <c r="A372" t="s">
        <v>303</v>
      </c>
      <c r="B372">
        <v>2</v>
      </c>
      <c r="C372" s="1">
        <v>2165291.23</v>
      </c>
      <c r="D372" s="1">
        <v>2165291.23</v>
      </c>
      <c r="F372" t="s">
        <v>635</v>
      </c>
    </row>
    <row r="373" spans="1:6" x14ac:dyDescent="0.25">
      <c r="A373" t="s">
        <v>303</v>
      </c>
      <c r="B373">
        <v>3</v>
      </c>
      <c r="C373" s="1">
        <v>2165291.23</v>
      </c>
      <c r="F373" t="s">
        <v>636</v>
      </c>
    </row>
    <row r="374" spans="1:6" x14ac:dyDescent="0.25">
      <c r="A374" t="s">
        <v>578</v>
      </c>
      <c r="B374">
        <v>1</v>
      </c>
      <c r="C374" s="1">
        <v>369283</v>
      </c>
      <c r="F374" t="s">
        <v>636</v>
      </c>
    </row>
    <row r="375" spans="1:6" x14ac:dyDescent="0.25">
      <c r="A375" t="s">
        <v>578</v>
      </c>
      <c r="B375">
        <v>2</v>
      </c>
      <c r="C375" s="1">
        <v>1403275.39</v>
      </c>
      <c r="F375" t="s">
        <v>636</v>
      </c>
    </row>
    <row r="376" spans="1:6" x14ac:dyDescent="0.25">
      <c r="A376" t="s">
        <v>578</v>
      </c>
      <c r="B376">
        <v>3</v>
      </c>
      <c r="C376" s="1">
        <v>1403275.39</v>
      </c>
      <c r="F376" t="s">
        <v>636</v>
      </c>
    </row>
    <row r="377" spans="1:6" x14ac:dyDescent="0.25">
      <c r="A377" t="s">
        <v>578</v>
      </c>
      <c r="B377">
        <v>4</v>
      </c>
      <c r="C377" s="1">
        <v>1403275.39</v>
      </c>
      <c r="F377" t="s">
        <v>636</v>
      </c>
    </row>
    <row r="378" spans="1:6" x14ac:dyDescent="0.25">
      <c r="A378" t="s">
        <v>578</v>
      </c>
      <c r="B378">
        <v>5</v>
      </c>
      <c r="C378" s="1">
        <v>1403275.39</v>
      </c>
      <c r="F378" t="s">
        <v>636</v>
      </c>
    </row>
    <row r="379" spans="1:6" x14ac:dyDescent="0.25">
      <c r="A379" t="s">
        <v>578</v>
      </c>
      <c r="B379">
        <v>6</v>
      </c>
      <c r="C379" s="1">
        <v>1403275.39</v>
      </c>
      <c r="F379" t="s">
        <v>636</v>
      </c>
    </row>
    <row r="380" spans="1:6" x14ac:dyDescent="0.25">
      <c r="A380" t="s">
        <v>19</v>
      </c>
      <c r="B380">
        <v>1</v>
      </c>
      <c r="C380" s="1">
        <v>38075.75</v>
      </c>
      <c r="D380" s="1">
        <v>38075.75</v>
      </c>
      <c r="F380" t="s">
        <v>635</v>
      </c>
    </row>
    <row r="381" spans="1:6" x14ac:dyDescent="0.25">
      <c r="A381" t="s">
        <v>19</v>
      </c>
      <c r="B381">
        <v>2</v>
      </c>
      <c r="C381" s="1">
        <v>91308.33</v>
      </c>
      <c r="D381" s="1">
        <v>91308.33</v>
      </c>
      <c r="F381" t="s">
        <v>635</v>
      </c>
    </row>
    <row r="382" spans="1:6" x14ac:dyDescent="0.25">
      <c r="A382" t="s">
        <v>19</v>
      </c>
      <c r="B382">
        <v>3</v>
      </c>
      <c r="C382" s="1">
        <v>152459.75</v>
      </c>
      <c r="D382" s="1">
        <v>152459.75</v>
      </c>
      <c r="F382" t="s">
        <v>635</v>
      </c>
    </row>
    <row r="383" spans="1:6" x14ac:dyDescent="0.25">
      <c r="A383" t="s">
        <v>19</v>
      </c>
      <c r="B383">
        <v>4</v>
      </c>
      <c r="C383" s="1">
        <v>328874.09999999998</v>
      </c>
      <c r="D383" s="1">
        <v>328874.09999999998</v>
      </c>
      <c r="F383" t="s">
        <v>635</v>
      </c>
    </row>
    <row r="384" spans="1:6" x14ac:dyDescent="0.25">
      <c r="A384" t="s">
        <v>19</v>
      </c>
      <c r="B384">
        <v>5</v>
      </c>
      <c r="C384" s="1">
        <v>512868.36</v>
      </c>
      <c r="F384" t="s">
        <v>636</v>
      </c>
    </row>
    <row r="385" spans="1:6" x14ac:dyDescent="0.25">
      <c r="A385" t="s">
        <v>19</v>
      </c>
      <c r="B385">
        <v>6</v>
      </c>
      <c r="C385" s="1">
        <v>526075.59</v>
      </c>
      <c r="F385" t="s">
        <v>636</v>
      </c>
    </row>
    <row r="386" spans="1:6" x14ac:dyDescent="0.25">
      <c r="A386" t="s">
        <v>19</v>
      </c>
      <c r="B386">
        <v>7</v>
      </c>
      <c r="C386" s="1">
        <v>433259.1</v>
      </c>
      <c r="D386" s="1">
        <v>433259.1</v>
      </c>
      <c r="F386" t="s">
        <v>635</v>
      </c>
    </row>
    <row r="387" spans="1:6" x14ac:dyDescent="0.25">
      <c r="A387" t="s">
        <v>112</v>
      </c>
      <c r="B387">
        <v>1</v>
      </c>
      <c r="C387" s="1">
        <v>706912.64</v>
      </c>
      <c r="F387" t="s">
        <v>636</v>
      </c>
    </row>
    <row r="388" spans="1:6" x14ac:dyDescent="0.25">
      <c r="A388" t="s">
        <v>112</v>
      </c>
      <c r="B388">
        <v>2</v>
      </c>
      <c r="C388" s="1">
        <v>706912.64</v>
      </c>
      <c r="F388" t="s">
        <v>636</v>
      </c>
    </row>
    <row r="389" spans="1:6" x14ac:dyDescent="0.25">
      <c r="A389" t="s">
        <v>112</v>
      </c>
      <c r="B389">
        <v>3</v>
      </c>
      <c r="C389" s="1">
        <v>706912.64</v>
      </c>
      <c r="F389" t="s">
        <v>636</v>
      </c>
    </row>
    <row r="390" spans="1:6" x14ac:dyDescent="0.25">
      <c r="A390" t="s">
        <v>112</v>
      </c>
      <c r="B390">
        <v>4</v>
      </c>
      <c r="C390" s="1">
        <v>706912.64</v>
      </c>
      <c r="F390" t="s">
        <v>636</v>
      </c>
    </row>
    <row r="391" spans="1:6" x14ac:dyDescent="0.25">
      <c r="A391" t="s">
        <v>112</v>
      </c>
      <c r="B391">
        <v>5</v>
      </c>
      <c r="C391" s="1">
        <v>706912.64</v>
      </c>
      <c r="F391" t="s">
        <v>636</v>
      </c>
    </row>
    <row r="392" spans="1:6" x14ac:dyDescent="0.25">
      <c r="A392" t="s">
        <v>112</v>
      </c>
      <c r="B392">
        <v>6</v>
      </c>
      <c r="C392" s="1">
        <v>706912.63</v>
      </c>
      <c r="F392" t="s">
        <v>636</v>
      </c>
    </row>
    <row r="393" spans="1:6" x14ac:dyDescent="0.25">
      <c r="A393" t="s">
        <v>306</v>
      </c>
      <c r="B393">
        <v>1</v>
      </c>
      <c r="C393" s="1">
        <v>2120181.0099999998</v>
      </c>
      <c r="D393" s="1">
        <v>2120181.0099999998</v>
      </c>
      <c r="F393" t="s">
        <v>635</v>
      </c>
    </row>
    <row r="394" spans="1:6" x14ac:dyDescent="0.25">
      <c r="A394" t="s">
        <v>306</v>
      </c>
      <c r="B394">
        <v>2</v>
      </c>
      <c r="C394" s="1">
        <v>2120181.0099999998</v>
      </c>
      <c r="F394" t="s">
        <v>636</v>
      </c>
    </row>
    <row r="395" spans="1:6" x14ac:dyDescent="0.25">
      <c r="A395" t="s">
        <v>306</v>
      </c>
      <c r="B395">
        <v>3</v>
      </c>
      <c r="C395" s="1">
        <v>2120181.0099999998</v>
      </c>
      <c r="F395" t="s">
        <v>636</v>
      </c>
    </row>
    <row r="396" spans="1:6" x14ac:dyDescent="0.25">
      <c r="A396" t="s">
        <v>581</v>
      </c>
      <c r="B396">
        <v>1</v>
      </c>
      <c r="C396" s="1">
        <v>388730.58</v>
      </c>
      <c r="F396" t="s">
        <v>636</v>
      </c>
    </row>
    <row r="397" spans="1:6" x14ac:dyDescent="0.25">
      <c r="A397" t="s">
        <v>581</v>
      </c>
      <c r="B397">
        <v>2</v>
      </c>
      <c r="C397" s="1">
        <v>1477176.22</v>
      </c>
      <c r="F397" t="s">
        <v>636</v>
      </c>
    </row>
    <row r="398" spans="1:6" x14ac:dyDescent="0.25">
      <c r="A398" t="s">
        <v>581</v>
      </c>
      <c r="B398">
        <v>3</v>
      </c>
      <c r="C398" s="1">
        <v>1477176.22</v>
      </c>
      <c r="F398" t="s">
        <v>636</v>
      </c>
    </row>
    <row r="399" spans="1:6" x14ac:dyDescent="0.25">
      <c r="A399" t="s">
        <v>581</v>
      </c>
      <c r="B399">
        <v>4</v>
      </c>
      <c r="C399" s="1">
        <v>1477176.22</v>
      </c>
      <c r="F399" t="s">
        <v>636</v>
      </c>
    </row>
    <row r="400" spans="1:6" x14ac:dyDescent="0.25">
      <c r="A400" t="s">
        <v>581</v>
      </c>
      <c r="B400">
        <v>5</v>
      </c>
      <c r="C400" s="1">
        <v>1477176.22</v>
      </c>
      <c r="F400" t="s">
        <v>636</v>
      </c>
    </row>
    <row r="401" spans="1:6" x14ac:dyDescent="0.25">
      <c r="A401" t="s">
        <v>581</v>
      </c>
      <c r="B401">
        <v>6</v>
      </c>
      <c r="C401" s="1">
        <v>1477176.2</v>
      </c>
      <c r="F401" t="s">
        <v>636</v>
      </c>
    </row>
    <row r="402" spans="1:6" x14ac:dyDescent="0.25">
      <c r="A402" t="s">
        <v>309</v>
      </c>
      <c r="B402">
        <v>1</v>
      </c>
      <c r="C402" s="1">
        <v>2154623.9300000002</v>
      </c>
      <c r="D402" s="1">
        <v>2154623.9300000002</v>
      </c>
      <c r="F402" t="s">
        <v>635</v>
      </c>
    </row>
    <row r="403" spans="1:6" x14ac:dyDescent="0.25">
      <c r="A403" t="s">
        <v>309</v>
      </c>
      <c r="B403">
        <v>2</v>
      </c>
      <c r="C403" s="1">
        <v>2154623.9300000002</v>
      </c>
      <c r="D403" s="1">
        <v>2154623.9300000002</v>
      </c>
      <c r="F403" t="s">
        <v>635</v>
      </c>
    </row>
    <row r="404" spans="1:6" x14ac:dyDescent="0.25">
      <c r="A404" t="s">
        <v>309</v>
      </c>
      <c r="B404">
        <v>3</v>
      </c>
      <c r="C404" s="1">
        <v>2154623.9300000002</v>
      </c>
      <c r="F404" t="s">
        <v>636</v>
      </c>
    </row>
    <row r="405" spans="1:6" x14ac:dyDescent="0.25">
      <c r="A405" t="s">
        <v>584</v>
      </c>
      <c r="B405">
        <v>1</v>
      </c>
      <c r="C405" s="1">
        <v>307580.5</v>
      </c>
      <c r="D405" s="1">
        <v>307580.5</v>
      </c>
      <c r="F405" t="s">
        <v>635</v>
      </c>
    </row>
    <row r="406" spans="1:6" x14ac:dyDescent="0.25">
      <c r="A406" t="s">
        <v>584</v>
      </c>
      <c r="B406">
        <v>2</v>
      </c>
      <c r="C406" s="1">
        <v>1461007.4</v>
      </c>
      <c r="D406" s="1">
        <v>1461007.4</v>
      </c>
      <c r="F406" t="s">
        <v>635</v>
      </c>
    </row>
    <row r="407" spans="1:6" x14ac:dyDescent="0.25">
      <c r="A407" t="s">
        <v>584</v>
      </c>
      <c r="B407">
        <v>3</v>
      </c>
      <c r="C407" s="1">
        <v>1461007.4</v>
      </c>
      <c r="F407" t="s">
        <v>636</v>
      </c>
    </row>
    <row r="408" spans="1:6" x14ac:dyDescent="0.25">
      <c r="A408" t="s">
        <v>584</v>
      </c>
      <c r="B408">
        <v>4</v>
      </c>
      <c r="C408" s="1">
        <v>1461007.4</v>
      </c>
      <c r="F408" t="s">
        <v>636</v>
      </c>
    </row>
    <row r="409" spans="1:6" x14ac:dyDescent="0.25">
      <c r="A409" t="s">
        <v>584</v>
      </c>
      <c r="B409">
        <v>5</v>
      </c>
      <c r="C409" s="1">
        <v>1461007.4</v>
      </c>
      <c r="F409" t="s">
        <v>636</v>
      </c>
    </row>
    <row r="410" spans="1:6" x14ac:dyDescent="0.25">
      <c r="A410" t="s">
        <v>312</v>
      </c>
      <c r="B410">
        <v>1</v>
      </c>
      <c r="C410" s="1">
        <v>2197716.42</v>
      </c>
      <c r="D410" s="1">
        <v>2197716.42</v>
      </c>
      <c r="F410" t="s">
        <v>635</v>
      </c>
    </row>
    <row r="411" spans="1:6" x14ac:dyDescent="0.25">
      <c r="A411" t="s">
        <v>312</v>
      </c>
      <c r="B411">
        <v>2</v>
      </c>
      <c r="C411" s="1">
        <v>2133077.6800000002</v>
      </c>
      <c r="F411" t="s">
        <v>636</v>
      </c>
    </row>
    <row r="412" spans="1:6" x14ac:dyDescent="0.25">
      <c r="A412" t="s">
        <v>312</v>
      </c>
      <c r="B412">
        <v>3</v>
      </c>
      <c r="C412" s="1">
        <v>2133077.6800000002</v>
      </c>
      <c r="F412" t="s">
        <v>636</v>
      </c>
    </row>
    <row r="413" spans="1:6" x14ac:dyDescent="0.25">
      <c r="A413" t="s">
        <v>587</v>
      </c>
      <c r="B413">
        <v>1</v>
      </c>
      <c r="C413" s="1">
        <v>752428.03</v>
      </c>
      <c r="F413" t="s">
        <v>636</v>
      </c>
    </row>
    <row r="414" spans="1:6" x14ac:dyDescent="0.25">
      <c r="A414" t="s">
        <v>587</v>
      </c>
      <c r="B414">
        <v>2</v>
      </c>
      <c r="C414" s="1">
        <v>2042304.71</v>
      </c>
      <c r="F414" t="s">
        <v>636</v>
      </c>
    </row>
    <row r="415" spans="1:6" x14ac:dyDescent="0.25">
      <c r="A415" t="s">
        <v>587</v>
      </c>
      <c r="B415">
        <v>3</v>
      </c>
      <c r="C415" s="1">
        <v>2042304.71</v>
      </c>
      <c r="F415" t="s">
        <v>636</v>
      </c>
    </row>
    <row r="416" spans="1:6" x14ac:dyDescent="0.25">
      <c r="A416" t="s">
        <v>587</v>
      </c>
      <c r="B416">
        <v>4</v>
      </c>
      <c r="C416" s="1">
        <v>2042304.71</v>
      </c>
      <c r="F416" t="s">
        <v>636</v>
      </c>
    </row>
    <row r="417" spans="1:6" x14ac:dyDescent="0.25">
      <c r="A417" t="s">
        <v>587</v>
      </c>
      <c r="B417">
        <v>5</v>
      </c>
      <c r="C417" s="1">
        <v>2042304.71</v>
      </c>
      <c r="F417" t="s">
        <v>636</v>
      </c>
    </row>
    <row r="418" spans="1:6" x14ac:dyDescent="0.25">
      <c r="A418" t="s">
        <v>587</v>
      </c>
      <c r="B418">
        <v>6</v>
      </c>
      <c r="C418" s="1">
        <v>2042304.71</v>
      </c>
      <c r="F418" t="s">
        <v>636</v>
      </c>
    </row>
    <row r="419" spans="1:6" x14ac:dyDescent="0.25">
      <c r="A419" t="s">
        <v>587</v>
      </c>
      <c r="B419">
        <v>7</v>
      </c>
      <c r="C419" s="1">
        <v>2042304.71</v>
      </c>
      <c r="F419" t="s">
        <v>636</v>
      </c>
    </row>
    <row r="420" spans="1:6" x14ac:dyDescent="0.25">
      <c r="A420" t="s">
        <v>587</v>
      </c>
      <c r="B420">
        <v>8</v>
      </c>
      <c r="C420" s="1">
        <v>2042304.71</v>
      </c>
      <c r="F420" t="s">
        <v>636</v>
      </c>
    </row>
    <row r="421" spans="1:6" x14ac:dyDescent="0.25">
      <c r="A421" t="s">
        <v>117</v>
      </c>
      <c r="B421">
        <v>1</v>
      </c>
      <c r="C421" s="1">
        <v>698708.05</v>
      </c>
      <c r="D421" s="1">
        <v>698708.05</v>
      </c>
      <c r="F421" t="s">
        <v>635</v>
      </c>
    </row>
    <row r="422" spans="1:6" x14ac:dyDescent="0.25">
      <c r="A422" t="s">
        <v>117</v>
      </c>
      <c r="B422">
        <v>2</v>
      </c>
      <c r="C422" s="1">
        <v>698708.05</v>
      </c>
      <c r="D422" s="1">
        <v>698708.05</v>
      </c>
      <c r="F422" t="s">
        <v>635</v>
      </c>
    </row>
    <row r="423" spans="1:6" x14ac:dyDescent="0.25">
      <c r="A423" t="s">
        <v>117</v>
      </c>
      <c r="B423">
        <v>3</v>
      </c>
      <c r="C423" s="1">
        <v>698708.05</v>
      </c>
      <c r="D423" s="1">
        <v>698708.05</v>
      </c>
      <c r="F423" t="s">
        <v>635</v>
      </c>
    </row>
    <row r="424" spans="1:6" x14ac:dyDescent="0.25">
      <c r="A424" t="s">
        <v>117</v>
      </c>
      <c r="B424">
        <v>4</v>
      </c>
      <c r="C424" s="1">
        <v>698708.05</v>
      </c>
      <c r="D424" s="1">
        <v>698708.05</v>
      </c>
      <c r="F424" t="s">
        <v>635</v>
      </c>
    </row>
    <row r="425" spans="1:6" x14ac:dyDescent="0.25">
      <c r="A425" t="s">
        <v>117</v>
      </c>
      <c r="B425">
        <v>5</v>
      </c>
      <c r="C425" s="1">
        <v>698708.05</v>
      </c>
      <c r="D425" s="1">
        <v>698708.05</v>
      </c>
      <c r="F425" t="s">
        <v>635</v>
      </c>
    </row>
    <row r="426" spans="1:6" x14ac:dyDescent="0.25">
      <c r="A426" t="s">
        <v>117</v>
      </c>
      <c r="B426">
        <v>6</v>
      </c>
      <c r="C426" s="1">
        <v>698708.05</v>
      </c>
      <c r="D426" s="1">
        <v>698708.05</v>
      </c>
      <c r="F426" t="s">
        <v>635</v>
      </c>
    </row>
    <row r="427" spans="1:6" x14ac:dyDescent="0.25">
      <c r="A427" t="s">
        <v>317</v>
      </c>
      <c r="B427">
        <v>1</v>
      </c>
      <c r="C427" s="1">
        <v>2142736.11</v>
      </c>
      <c r="D427" s="1">
        <v>2142736.11</v>
      </c>
      <c r="F427" t="s">
        <v>635</v>
      </c>
    </row>
    <row r="428" spans="1:6" x14ac:dyDescent="0.25">
      <c r="A428" t="s">
        <v>317</v>
      </c>
      <c r="B428">
        <v>2</v>
      </c>
      <c r="C428" s="1">
        <v>2142736.11</v>
      </c>
      <c r="D428" s="1">
        <v>2142736.11</v>
      </c>
      <c r="F428" t="s">
        <v>635</v>
      </c>
    </row>
    <row r="429" spans="1:6" x14ac:dyDescent="0.25">
      <c r="A429" t="s">
        <v>317</v>
      </c>
      <c r="B429">
        <v>3</v>
      </c>
      <c r="C429" s="1">
        <v>2142736.12</v>
      </c>
      <c r="D429" s="1">
        <v>2142736.12</v>
      </c>
      <c r="F429" t="s">
        <v>635</v>
      </c>
    </row>
    <row r="430" spans="1:6" x14ac:dyDescent="0.25">
      <c r="A430" t="s">
        <v>590</v>
      </c>
      <c r="B430">
        <v>1</v>
      </c>
      <c r="C430" s="1">
        <v>333461.32</v>
      </c>
      <c r="F430" t="s">
        <v>636</v>
      </c>
    </row>
    <row r="431" spans="1:6" x14ac:dyDescent="0.25">
      <c r="A431" t="s">
        <v>590</v>
      </c>
      <c r="B431">
        <v>2</v>
      </c>
      <c r="C431" s="1">
        <v>1583941.29</v>
      </c>
      <c r="F431" t="s">
        <v>636</v>
      </c>
    </row>
    <row r="432" spans="1:6" x14ac:dyDescent="0.25">
      <c r="A432" t="s">
        <v>590</v>
      </c>
      <c r="B432">
        <v>3</v>
      </c>
      <c r="C432" s="1">
        <v>1583941.29</v>
      </c>
      <c r="F432" t="s">
        <v>636</v>
      </c>
    </row>
    <row r="433" spans="1:6" x14ac:dyDescent="0.25">
      <c r="A433" t="s">
        <v>590</v>
      </c>
      <c r="B433">
        <v>4</v>
      </c>
      <c r="C433" s="1">
        <v>1583941.29</v>
      </c>
      <c r="F433" t="s">
        <v>636</v>
      </c>
    </row>
    <row r="434" spans="1:6" x14ac:dyDescent="0.25">
      <c r="A434" t="s">
        <v>590</v>
      </c>
      <c r="B434">
        <v>5</v>
      </c>
      <c r="C434" s="1">
        <v>1583941.29</v>
      </c>
      <c r="F434" t="s">
        <v>636</v>
      </c>
    </row>
    <row r="435" spans="1:6" x14ac:dyDescent="0.25">
      <c r="A435" t="s">
        <v>322</v>
      </c>
      <c r="B435">
        <v>1</v>
      </c>
      <c r="C435" s="1">
        <v>2154623.92</v>
      </c>
      <c r="D435" s="1">
        <v>2154623.92</v>
      </c>
      <c r="F435" t="s">
        <v>635</v>
      </c>
    </row>
    <row r="436" spans="1:6" x14ac:dyDescent="0.25">
      <c r="A436" t="s">
        <v>322</v>
      </c>
      <c r="B436">
        <v>2</v>
      </c>
      <c r="C436" s="1">
        <v>2154623.923</v>
      </c>
      <c r="D436" s="1">
        <v>2154623.923</v>
      </c>
      <c r="F436" t="s">
        <v>635</v>
      </c>
    </row>
    <row r="437" spans="1:6" x14ac:dyDescent="0.25">
      <c r="A437" t="s">
        <v>322</v>
      </c>
      <c r="B437">
        <v>3</v>
      </c>
      <c r="C437" s="1">
        <v>2154623.9300000002</v>
      </c>
      <c r="D437" s="1">
        <v>2154623.9300000002</v>
      </c>
      <c r="F437" t="s">
        <v>635</v>
      </c>
    </row>
    <row r="438" spans="1:6" x14ac:dyDescent="0.25">
      <c r="A438" t="s">
        <v>122</v>
      </c>
      <c r="B438">
        <v>1</v>
      </c>
      <c r="C438" s="1">
        <v>282404.34000000003</v>
      </c>
      <c r="D438" s="1">
        <v>282404.34000000003</v>
      </c>
      <c r="F438" t="s">
        <v>635</v>
      </c>
    </row>
    <row r="439" spans="1:6" x14ac:dyDescent="0.25">
      <c r="A439" t="s">
        <v>122</v>
      </c>
      <c r="B439">
        <v>2</v>
      </c>
      <c r="C439" s="1">
        <v>282404.33</v>
      </c>
      <c r="D439" s="1">
        <v>282404.33</v>
      </c>
      <c r="F439" t="s">
        <v>635</v>
      </c>
    </row>
    <row r="440" spans="1:6" x14ac:dyDescent="0.25">
      <c r="A440" t="s">
        <v>122</v>
      </c>
      <c r="B440">
        <v>3</v>
      </c>
      <c r="C440" s="1">
        <v>282404.33</v>
      </c>
      <c r="F440" t="s">
        <v>636</v>
      </c>
    </row>
    <row r="441" spans="1:6" x14ac:dyDescent="0.25">
      <c r="A441" t="s">
        <v>122</v>
      </c>
      <c r="B441">
        <v>4</v>
      </c>
      <c r="C441" s="1">
        <v>282404.33</v>
      </c>
      <c r="D441" s="1">
        <v>282404.33</v>
      </c>
      <c r="F441" t="s">
        <v>635</v>
      </c>
    </row>
    <row r="442" spans="1:6" x14ac:dyDescent="0.25">
      <c r="A442" t="s">
        <v>327</v>
      </c>
      <c r="B442">
        <v>1</v>
      </c>
      <c r="C442" s="1">
        <v>2154623.92</v>
      </c>
      <c r="D442" s="1">
        <v>2154623.92</v>
      </c>
      <c r="F442" t="s">
        <v>635</v>
      </c>
    </row>
    <row r="443" spans="1:6" x14ac:dyDescent="0.25">
      <c r="A443" t="s">
        <v>327</v>
      </c>
      <c r="B443">
        <v>2</v>
      </c>
      <c r="C443" s="1">
        <v>2154623.92</v>
      </c>
      <c r="F443" t="s">
        <v>636</v>
      </c>
    </row>
    <row r="444" spans="1:6" x14ac:dyDescent="0.25">
      <c r="A444" t="s">
        <v>327</v>
      </c>
      <c r="B444">
        <v>3</v>
      </c>
      <c r="C444" s="1">
        <v>2154623.9300000002</v>
      </c>
      <c r="F444" t="s">
        <v>636</v>
      </c>
    </row>
    <row r="445" spans="1:6" x14ac:dyDescent="0.25">
      <c r="A445" t="s">
        <v>593</v>
      </c>
      <c r="B445">
        <v>1</v>
      </c>
      <c r="C445" s="1">
        <v>288427.36</v>
      </c>
      <c r="F445" t="s">
        <v>636</v>
      </c>
    </row>
    <row r="446" spans="1:6" x14ac:dyDescent="0.25">
      <c r="A446" t="s">
        <v>593</v>
      </c>
      <c r="B446">
        <v>2</v>
      </c>
      <c r="C446" s="1">
        <v>1370029.98</v>
      </c>
      <c r="F446" t="s">
        <v>636</v>
      </c>
    </row>
    <row r="447" spans="1:6" x14ac:dyDescent="0.25">
      <c r="A447" t="s">
        <v>593</v>
      </c>
      <c r="B447">
        <v>3</v>
      </c>
      <c r="C447" s="1">
        <v>1370029.98</v>
      </c>
      <c r="F447" t="s">
        <v>636</v>
      </c>
    </row>
    <row r="448" spans="1:6" x14ac:dyDescent="0.25">
      <c r="A448" t="s">
        <v>593</v>
      </c>
      <c r="B448">
        <v>4</v>
      </c>
      <c r="C448" s="1">
        <v>1370029.98</v>
      </c>
      <c r="F448" t="s">
        <v>636</v>
      </c>
    </row>
    <row r="449" spans="1:6" x14ac:dyDescent="0.25">
      <c r="A449" t="s">
        <v>593</v>
      </c>
      <c r="B449">
        <v>5</v>
      </c>
      <c r="C449" s="1">
        <v>1370030</v>
      </c>
      <c r="F449" t="s">
        <v>636</v>
      </c>
    </row>
    <row r="450" spans="1:6" x14ac:dyDescent="0.25">
      <c r="A450" t="s">
        <v>127</v>
      </c>
      <c r="B450">
        <v>1</v>
      </c>
      <c r="C450" s="1">
        <v>335342.49</v>
      </c>
      <c r="F450" t="s">
        <v>636</v>
      </c>
    </row>
    <row r="451" spans="1:6" x14ac:dyDescent="0.25">
      <c r="A451" t="s">
        <v>127</v>
      </c>
      <c r="B451">
        <v>2</v>
      </c>
      <c r="C451" s="1">
        <v>335342.48</v>
      </c>
      <c r="F451" t="s">
        <v>636</v>
      </c>
    </row>
    <row r="452" spans="1:6" x14ac:dyDescent="0.25">
      <c r="A452" t="s">
        <v>127</v>
      </c>
      <c r="B452">
        <v>3</v>
      </c>
      <c r="C452" s="1">
        <v>335342.48</v>
      </c>
      <c r="F452" t="s">
        <v>636</v>
      </c>
    </row>
    <row r="453" spans="1:6" x14ac:dyDescent="0.25">
      <c r="A453" t="s">
        <v>127</v>
      </c>
      <c r="B453">
        <v>4</v>
      </c>
      <c r="C453" s="1">
        <v>335342.48</v>
      </c>
      <c r="F453" t="s">
        <v>636</v>
      </c>
    </row>
    <row r="454" spans="1:6" x14ac:dyDescent="0.25">
      <c r="A454" t="s">
        <v>127</v>
      </c>
      <c r="B454">
        <v>5</v>
      </c>
      <c r="C454" s="1">
        <v>335342.48</v>
      </c>
      <c r="F454" t="s">
        <v>636</v>
      </c>
    </row>
    <row r="455" spans="1:6" x14ac:dyDescent="0.25">
      <c r="A455" t="s">
        <v>127</v>
      </c>
      <c r="B455">
        <v>6</v>
      </c>
      <c r="C455" s="1">
        <v>335342.48</v>
      </c>
      <c r="F455" t="s">
        <v>636</v>
      </c>
    </row>
    <row r="456" spans="1:6" x14ac:dyDescent="0.25">
      <c r="A456" t="s">
        <v>332</v>
      </c>
      <c r="B456">
        <v>1</v>
      </c>
      <c r="C456" s="1">
        <v>2154623.92</v>
      </c>
      <c r="F456" t="s">
        <v>636</v>
      </c>
    </row>
    <row r="457" spans="1:6" x14ac:dyDescent="0.25">
      <c r="A457" t="s">
        <v>332</v>
      </c>
      <c r="B457">
        <v>2</v>
      </c>
      <c r="C457" s="1">
        <v>2154623.92</v>
      </c>
      <c r="F457" t="s">
        <v>636</v>
      </c>
    </row>
    <row r="458" spans="1:6" x14ac:dyDescent="0.25">
      <c r="A458" t="s">
        <v>332</v>
      </c>
      <c r="B458">
        <v>3</v>
      </c>
      <c r="C458" s="1">
        <v>2154623.9300000002</v>
      </c>
      <c r="F458" t="s">
        <v>636</v>
      </c>
    </row>
    <row r="459" spans="1:6" x14ac:dyDescent="0.25">
      <c r="A459" t="s">
        <v>596</v>
      </c>
      <c r="B459">
        <v>1</v>
      </c>
      <c r="C459" s="1">
        <v>246608.02</v>
      </c>
      <c r="F459" t="s">
        <v>636</v>
      </c>
    </row>
    <row r="460" spans="1:6" x14ac:dyDescent="0.25">
      <c r="A460" t="s">
        <v>596</v>
      </c>
      <c r="B460">
        <v>2</v>
      </c>
      <c r="C460" s="1">
        <v>1171388.0900000001</v>
      </c>
      <c r="F460" t="s">
        <v>636</v>
      </c>
    </row>
    <row r="461" spans="1:6" x14ac:dyDescent="0.25">
      <c r="A461" t="s">
        <v>596</v>
      </c>
      <c r="B461">
        <v>3</v>
      </c>
      <c r="C461" s="1">
        <v>1171388.0900000001</v>
      </c>
      <c r="F461" t="s">
        <v>636</v>
      </c>
    </row>
    <row r="462" spans="1:6" x14ac:dyDescent="0.25">
      <c r="A462" t="s">
        <v>596</v>
      </c>
      <c r="B462">
        <v>4</v>
      </c>
      <c r="C462" s="1">
        <v>1171388.0900000001</v>
      </c>
      <c r="F462" t="s">
        <v>636</v>
      </c>
    </row>
    <row r="463" spans="1:6" x14ac:dyDescent="0.25">
      <c r="A463" t="s">
        <v>596</v>
      </c>
      <c r="B463">
        <v>5</v>
      </c>
      <c r="C463" s="1">
        <v>1171388.1000000001</v>
      </c>
      <c r="F463" t="s">
        <v>636</v>
      </c>
    </row>
    <row r="464" spans="1:6" x14ac:dyDescent="0.25">
      <c r="A464" t="s">
        <v>132</v>
      </c>
      <c r="B464">
        <v>1</v>
      </c>
      <c r="C464" s="1">
        <v>1742316.75</v>
      </c>
      <c r="D464" s="1">
        <v>1742316.75</v>
      </c>
      <c r="F464" t="s">
        <v>635</v>
      </c>
    </row>
    <row r="465" spans="1:6" x14ac:dyDescent="0.25">
      <c r="A465" t="s">
        <v>132</v>
      </c>
      <c r="B465">
        <v>2</v>
      </c>
      <c r="C465" s="1">
        <v>1742316.75</v>
      </c>
      <c r="D465" s="1">
        <v>1742316.75</v>
      </c>
      <c r="F465" t="s">
        <v>635</v>
      </c>
    </row>
    <row r="466" spans="1:6" x14ac:dyDescent="0.25">
      <c r="A466" t="s">
        <v>132</v>
      </c>
      <c r="B466">
        <v>3</v>
      </c>
      <c r="C466" s="1">
        <v>1742316.75</v>
      </c>
      <c r="D466" s="1">
        <v>1742316.75</v>
      </c>
      <c r="F466" t="s">
        <v>635</v>
      </c>
    </row>
    <row r="467" spans="1:6" x14ac:dyDescent="0.25">
      <c r="A467" t="s">
        <v>132</v>
      </c>
      <c r="B467">
        <v>4</v>
      </c>
      <c r="C467" s="1">
        <v>1742316.75</v>
      </c>
      <c r="F467" t="s">
        <v>636</v>
      </c>
    </row>
    <row r="468" spans="1:6" x14ac:dyDescent="0.25">
      <c r="A468" t="s">
        <v>132</v>
      </c>
      <c r="B468">
        <v>5</v>
      </c>
      <c r="C468" s="1">
        <v>1742316.75</v>
      </c>
      <c r="F468" t="s">
        <v>636</v>
      </c>
    </row>
    <row r="469" spans="1:6" x14ac:dyDescent="0.25">
      <c r="A469" t="s">
        <v>132</v>
      </c>
      <c r="B469">
        <v>6</v>
      </c>
      <c r="C469" s="1">
        <v>1742316.75</v>
      </c>
      <c r="D469" s="1">
        <v>1742316.75</v>
      </c>
      <c r="F469" t="s">
        <v>635</v>
      </c>
    </row>
    <row r="470" spans="1:6" x14ac:dyDescent="0.25">
      <c r="A470" t="s">
        <v>337</v>
      </c>
      <c r="B470">
        <v>1</v>
      </c>
      <c r="C470" s="1">
        <v>2154623.92</v>
      </c>
      <c r="D470" s="1">
        <v>2154623.92</v>
      </c>
      <c r="F470" t="s">
        <v>635</v>
      </c>
    </row>
    <row r="471" spans="1:6" x14ac:dyDescent="0.25">
      <c r="A471" t="s">
        <v>337</v>
      </c>
      <c r="B471">
        <v>2</v>
      </c>
      <c r="C471" s="1">
        <v>2154623.92</v>
      </c>
      <c r="F471" t="s">
        <v>636</v>
      </c>
    </row>
    <row r="472" spans="1:6" x14ac:dyDescent="0.25">
      <c r="A472" t="s">
        <v>337</v>
      </c>
      <c r="B472">
        <v>3</v>
      </c>
      <c r="C472" s="1">
        <v>2154623.9300000002</v>
      </c>
      <c r="F472" t="s">
        <v>636</v>
      </c>
    </row>
    <row r="473" spans="1:6" x14ac:dyDescent="0.25">
      <c r="A473" t="s">
        <v>599</v>
      </c>
      <c r="B473">
        <v>1</v>
      </c>
      <c r="C473" s="1">
        <v>227988.94</v>
      </c>
      <c r="F473" t="s">
        <v>636</v>
      </c>
    </row>
    <row r="474" spans="1:6" x14ac:dyDescent="0.25">
      <c r="A474" t="s">
        <v>599</v>
      </c>
      <c r="B474">
        <v>2</v>
      </c>
      <c r="C474" s="1">
        <v>1443929.98</v>
      </c>
      <c r="F474" t="s">
        <v>636</v>
      </c>
    </row>
    <row r="475" spans="1:6" x14ac:dyDescent="0.25">
      <c r="A475" t="s">
        <v>599</v>
      </c>
      <c r="B475">
        <v>3</v>
      </c>
      <c r="C475" s="1">
        <v>1443929.97</v>
      </c>
      <c r="F475" t="s">
        <v>636</v>
      </c>
    </row>
    <row r="476" spans="1:6" x14ac:dyDescent="0.25">
      <c r="A476" t="s">
        <v>599</v>
      </c>
      <c r="B476">
        <v>4</v>
      </c>
      <c r="C476" s="1">
        <v>1443929.97</v>
      </c>
      <c r="F476" t="s">
        <v>636</v>
      </c>
    </row>
    <row r="477" spans="1:6" x14ac:dyDescent="0.25">
      <c r="A477" t="s">
        <v>137</v>
      </c>
      <c r="B477">
        <v>1</v>
      </c>
      <c r="C477" s="1">
        <v>814633.04</v>
      </c>
      <c r="D477" s="1">
        <v>814633.04</v>
      </c>
      <c r="F477" t="s">
        <v>635</v>
      </c>
    </row>
    <row r="478" spans="1:6" x14ac:dyDescent="0.25">
      <c r="A478" t="s">
        <v>137</v>
      </c>
      <c r="B478">
        <v>2</v>
      </c>
      <c r="C478" s="1">
        <v>814633.02</v>
      </c>
      <c r="D478" s="1">
        <v>814633.02</v>
      </c>
      <c r="F478" t="s">
        <v>635</v>
      </c>
    </row>
    <row r="479" spans="1:6" x14ac:dyDescent="0.25">
      <c r="A479" t="s">
        <v>137</v>
      </c>
      <c r="B479">
        <v>3</v>
      </c>
      <c r="C479" s="1">
        <v>814633.02</v>
      </c>
      <c r="F479" t="s">
        <v>636</v>
      </c>
    </row>
    <row r="480" spans="1:6" x14ac:dyDescent="0.25">
      <c r="A480" t="s">
        <v>137</v>
      </c>
      <c r="B480">
        <v>4</v>
      </c>
      <c r="C480" s="1">
        <v>814633.02</v>
      </c>
      <c r="F480" t="s">
        <v>636</v>
      </c>
    </row>
    <row r="481" spans="1:6" x14ac:dyDescent="0.25">
      <c r="A481" t="s">
        <v>342</v>
      </c>
      <c r="B481">
        <v>1</v>
      </c>
      <c r="C481" s="1">
        <v>1299174.74</v>
      </c>
      <c r="D481" s="1">
        <v>1299174.74</v>
      </c>
      <c r="F481" t="s">
        <v>635</v>
      </c>
    </row>
    <row r="482" spans="1:6" x14ac:dyDescent="0.25">
      <c r="A482" t="s">
        <v>342</v>
      </c>
      <c r="B482">
        <v>2</v>
      </c>
      <c r="C482" s="1">
        <v>3247936.84</v>
      </c>
      <c r="D482" s="1">
        <v>3247936.84</v>
      </c>
      <c r="F482" t="s">
        <v>635</v>
      </c>
    </row>
    <row r="483" spans="1:6" x14ac:dyDescent="0.25">
      <c r="A483" t="s">
        <v>342</v>
      </c>
      <c r="B483">
        <v>3</v>
      </c>
      <c r="C483" s="1">
        <v>1948762.11</v>
      </c>
      <c r="D483" s="1">
        <v>1948762.11</v>
      </c>
      <c r="F483" t="s">
        <v>635</v>
      </c>
    </row>
    <row r="484" spans="1:6" x14ac:dyDescent="0.25">
      <c r="A484" t="s">
        <v>602</v>
      </c>
      <c r="B484">
        <v>1</v>
      </c>
      <c r="C484" s="1">
        <v>247431.42</v>
      </c>
      <c r="F484" t="s">
        <v>636</v>
      </c>
    </row>
    <row r="485" spans="1:6" x14ac:dyDescent="0.25">
      <c r="A485" t="s">
        <v>602</v>
      </c>
      <c r="B485">
        <v>2</v>
      </c>
      <c r="C485" s="1">
        <v>940239.41</v>
      </c>
      <c r="F485" t="s">
        <v>636</v>
      </c>
    </row>
    <row r="486" spans="1:6" x14ac:dyDescent="0.25">
      <c r="A486" t="s">
        <v>602</v>
      </c>
      <c r="B486">
        <v>3</v>
      </c>
      <c r="C486" s="1">
        <v>940239.41</v>
      </c>
      <c r="F486" t="s">
        <v>636</v>
      </c>
    </row>
    <row r="487" spans="1:6" x14ac:dyDescent="0.25">
      <c r="A487" t="s">
        <v>602</v>
      </c>
      <c r="B487">
        <v>4</v>
      </c>
      <c r="C487" s="1">
        <v>940239.41</v>
      </c>
      <c r="F487" t="s">
        <v>636</v>
      </c>
    </row>
    <row r="488" spans="1:6" x14ac:dyDescent="0.25">
      <c r="A488" t="s">
        <v>602</v>
      </c>
      <c r="B488">
        <v>5</v>
      </c>
      <c r="C488" s="1">
        <v>940239.41</v>
      </c>
      <c r="F488" t="s">
        <v>636</v>
      </c>
    </row>
    <row r="489" spans="1:6" x14ac:dyDescent="0.25">
      <c r="A489" t="s">
        <v>602</v>
      </c>
      <c r="B489">
        <v>6</v>
      </c>
      <c r="C489" s="1">
        <v>940239.41</v>
      </c>
      <c r="F489" t="s">
        <v>636</v>
      </c>
    </row>
    <row r="490" spans="1:6" x14ac:dyDescent="0.25">
      <c r="A490" t="s">
        <v>140</v>
      </c>
      <c r="B490">
        <v>1</v>
      </c>
      <c r="C490" s="1">
        <v>735340.59</v>
      </c>
      <c r="F490" t="s">
        <v>636</v>
      </c>
    </row>
    <row r="491" spans="1:6" x14ac:dyDescent="0.25">
      <c r="A491" t="s">
        <v>140</v>
      </c>
      <c r="B491">
        <v>2</v>
      </c>
      <c r="C491" s="1">
        <v>735340.58</v>
      </c>
      <c r="F491" t="s">
        <v>636</v>
      </c>
    </row>
    <row r="492" spans="1:6" x14ac:dyDescent="0.25">
      <c r="A492" t="s">
        <v>140</v>
      </c>
      <c r="B492">
        <v>3</v>
      </c>
      <c r="C492" s="1">
        <v>735340.58</v>
      </c>
      <c r="F492" t="s">
        <v>636</v>
      </c>
    </row>
    <row r="493" spans="1:6" x14ac:dyDescent="0.25">
      <c r="A493" t="s">
        <v>140</v>
      </c>
      <c r="B493">
        <v>4</v>
      </c>
      <c r="C493" s="1">
        <v>735340.58</v>
      </c>
      <c r="F493" t="s">
        <v>636</v>
      </c>
    </row>
    <row r="494" spans="1:6" x14ac:dyDescent="0.25">
      <c r="A494" t="s">
        <v>140</v>
      </c>
      <c r="B494">
        <v>5</v>
      </c>
      <c r="C494" s="1">
        <v>735340.58</v>
      </c>
      <c r="F494" t="s">
        <v>636</v>
      </c>
    </row>
    <row r="495" spans="1:6" x14ac:dyDescent="0.25">
      <c r="A495" t="s">
        <v>140</v>
      </c>
      <c r="B495">
        <v>6</v>
      </c>
      <c r="C495" s="1">
        <v>735340.58</v>
      </c>
      <c r="F495" t="s">
        <v>636</v>
      </c>
    </row>
    <row r="496" spans="1:6" x14ac:dyDescent="0.25">
      <c r="A496" t="s">
        <v>347</v>
      </c>
      <c r="B496">
        <v>1</v>
      </c>
      <c r="C496" s="1">
        <v>2165291.23</v>
      </c>
      <c r="F496" t="s">
        <v>636</v>
      </c>
    </row>
    <row r="497" spans="1:6" x14ac:dyDescent="0.25">
      <c r="A497" t="s">
        <v>347</v>
      </c>
      <c r="B497">
        <v>2</v>
      </c>
      <c r="C497" s="1">
        <v>2165291.23</v>
      </c>
      <c r="F497" t="s">
        <v>636</v>
      </c>
    </row>
    <row r="498" spans="1:6" x14ac:dyDescent="0.25">
      <c r="A498" t="s">
        <v>347</v>
      </c>
      <c r="B498">
        <v>3</v>
      </c>
      <c r="C498" s="1">
        <v>2165291.23</v>
      </c>
      <c r="F498" t="s">
        <v>636</v>
      </c>
    </row>
    <row r="499" spans="1:6" x14ac:dyDescent="0.25">
      <c r="A499" t="s">
        <v>605</v>
      </c>
      <c r="B499">
        <v>1</v>
      </c>
      <c r="C499" s="1">
        <v>810252.48</v>
      </c>
      <c r="F499" t="s">
        <v>636</v>
      </c>
    </row>
    <row r="500" spans="1:6" x14ac:dyDescent="0.25">
      <c r="A500" t="s">
        <v>605</v>
      </c>
      <c r="B500">
        <v>2</v>
      </c>
      <c r="C500" s="1">
        <v>1924349.63</v>
      </c>
      <c r="F500" t="s">
        <v>636</v>
      </c>
    </row>
    <row r="501" spans="1:6" x14ac:dyDescent="0.25">
      <c r="A501" t="s">
        <v>605</v>
      </c>
      <c r="B501">
        <v>3</v>
      </c>
      <c r="C501" s="1">
        <v>1924349.63</v>
      </c>
      <c r="F501" t="s">
        <v>636</v>
      </c>
    </row>
    <row r="502" spans="1:6" x14ac:dyDescent="0.25">
      <c r="A502" t="s">
        <v>605</v>
      </c>
      <c r="B502">
        <v>4</v>
      </c>
      <c r="C502" s="1">
        <v>1924349.63</v>
      </c>
      <c r="F502" t="s">
        <v>636</v>
      </c>
    </row>
    <row r="503" spans="1:6" x14ac:dyDescent="0.25">
      <c r="A503" t="s">
        <v>605</v>
      </c>
      <c r="B503">
        <v>5</v>
      </c>
      <c r="C503" s="1">
        <v>1924349.63</v>
      </c>
      <c r="F503" t="s">
        <v>636</v>
      </c>
    </row>
    <row r="504" spans="1:6" x14ac:dyDescent="0.25">
      <c r="A504" t="s">
        <v>605</v>
      </c>
      <c r="B504">
        <v>6</v>
      </c>
      <c r="C504" s="1">
        <v>1924349.63</v>
      </c>
      <c r="F504" t="s">
        <v>636</v>
      </c>
    </row>
    <row r="505" spans="1:6" x14ac:dyDescent="0.25">
      <c r="A505" t="s">
        <v>605</v>
      </c>
      <c r="B505">
        <v>7</v>
      </c>
      <c r="C505" s="1">
        <v>1924349.63</v>
      </c>
      <c r="F505" t="s">
        <v>636</v>
      </c>
    </row>
    <row r="506" spans="1:6" x14ac:dyDescent="0.25">
      <c r="A506" t="s">
        <v>605</v>
      </c>
      <c r="B506">
        <v>8</v>
      </c>
      <c r="C506" s="1">
        <v>1924349.63</v>
      </c>
      <c r="F506" t="s">
        <v>636</v>
      </c>
    </row>
    <row r="507" spans="1:6" x14ac:dyDescent="0.25">
      <c r="A507" t="s">
        <v>605</v>
      </c>
      <c r="B507">
        <v>9</v>
      </c>
      <c r="C507" s="1">
        <v>1924349.67</v>
      </c>
      <c r="F507" t="s">
        <v>636</v>
      </c>
    </row>
    <row r="508" spans="1:6" x14ac:dyDescent="0.25">
      <c r="A508" t="s">
        <v>145</v>
      </c>
      <c r="B508">
        <v>1</v>
      </c>
      <c r="C508" s="1">
        <v>1403662.7</v>
      </c>
      <c r="D508" s="1">
        <v>1403662.7</v>
      </c>
      <c r="F508" t="s">
        <v>635</v>
      </c>
    </row>
    <row r="509" spans="1:6" x14ac:dyDescent="0.25">
      <c r="A509" t="s">
        <v>145</v>
      </c>
      <c r="B509">
        <v>2</v>
      </c>
      <c r="C509" s="1">
        <v>1403662.7</v>
      </c>
      <c r="D509" s="1">
        <v>1403662.7</v>
      </c>
      <c r="F509" t="s">
        <v>635</v>
      </c>
    </row>
    <row r="510" spans="1:6" x14ac:dyDescent="0.25">
      <c r="A510" t="s">
        <v>145</v>
      </c>
      <c r="B510">
        <v>3</v>
      </c>
      <c r="C510" s="1">
        <v>1403662.7</v>
      </c>
      <c r="D510" s="1">
        <v>1403662.7</v>
      </c>
      <c r="F510" t="s">
        <v>635</v>
      </c>
    </row>
    <row r="511" spans="1:6" x14ac:dyDescent="0.25">
      <c r="A511" t="s">
        <v>145</v>
      </c>
      <c r="B511">
        <v>4</v>
      </c>
      <c r="C511" s="1">
        <v>1403662.71</v>
      </c>
      <c r="D511" s="1">
        <v>1403662.71</v>
      </c>
      <c r="F511" t="s">
        <v>635</v>
      </c>
    </row>
    <row r="512" spans="1:6" x14ac:dyDescent="0.25">
      <c r="A512" t="s">
        <v>352</v>
      </c>
      <c r="B512">
        <v>1</v>
      </c>
      <c r="C512" s="1">
        <v>2165291.23</v>
      </c>
      <c r="D512" s="1">
        <v>2165291.23</v>
      </c>
      <c r="F512" t="s">
        <v>635</v>
      </c>
    </row>
    <row r="513" spans="1:6" x14ac:dyDescent="0.25">
      <c r="A513" t="s">
        <v>352</v>
      </c>
      <c r="B513">
        <v>2</v>
      </c>
      <c r="C513" s="1">
        <v>2165291.23</v>
      </c>
      <c r="D513" s="1">
        <v>2165291.23</v>
      </c>
      <c r="F513" t="s">
        <v>635</v>
      </c>
    </row>
    <row r="514" spans="1:6" x14ac:dyDescent="0.25">
      <c r="A514" t="s">
        <v>352</v>
      </c>
      <c r="B514">
        <v>3</v>
      </c>
      <c r="C514" s="1">
        <v>2165291.23</v>
      </c>
      <c r="F514" t="s">
        <v>636</v>
      </c>
    </row>
    <row r="515" spans="1:6" x14ac:dyDescent="0.25">
      <c r="A515" t="s">
        <v>150</v>
      </c>
      <c r="B515">
        <v>1</v>
      </c>
      <c r="C515" s="1">
        <v>800605.1</v>
      </c>
      <c r="D515" s="1">
        <v>800605.1</v>
      </c>
      <c r="F515" t="s">
        <v>635</v>
      </c>
    </row>
    <row r="516" spans="1:6" x14ac:dyDescent="0.25">
      <c r="A516" t="s">
        <v>150</v>
      </c>
      <c r="B516">
        <v>2</v>
      </c>
      <c r="C516" s="1">
        <v>800605.09</v>
      </c>
      <c r="D516" s="1">
        <v>800605.09</v>
      </c>
      <c r="F516" t="s">
        <v>635</v>
      </c>
    </row>
    <row r="517" spans="1:6" x14ac:dyDescent="0.25">
      <c r="A517" t="s">
        <v>150</v>
      </c>
      <c r="B517">
        <v>3</v>
      </c>
      <c r="C517" s="1">
        <v>800605.09</v>
      </c>
      <c r="F517" t="s">
        <v>636</v>
      </c>
    </row>
    <row r="518" spans="1:6" x14ac:dyDescent="0.25">
      <c r="A518" t="s">
        <v>357</v>
      </c>
      <c r="B518">
        <v>1</v>
      </c>
      <c r="C518" s="1">
        <v>2154623.9300000002</v>
      </c>
      <c r="F518" t="s">
        <v>636</v>
      </c>
    </row>
    <row r="519" spans="1:6" x14ac:dyDescent="0.25">
      <c r="A519" t="s">
        <v>357</v>
      </c>
      <c r="B519">
        <v>2</v>
      </c>
      <c r="C519" s="1">
        <v>2154623.92</v>
      </c>
      <c r="F519" t="s">
        <v>636</v>
      </c>
    </row>
    <row r="520" spans="1:6" x14ac:dyDescent="0.25">
      <c r="A520" t="s">
        <v>357</v>
      </c>
      <c r="B520">
        <v>3</v>
      </c>
      <c r="C520" s="1">
        <v>2154623.92</v>
      </c>
      <c r="F520" t="s">
        <v>636</v>
      </c>
    </row>
    <row r="521" spans="1:6" x14ac:dyDescent="0.25">
      <c r="A521" t="s">
        <v>155</v>
      </c>
      <c r="B521">
        <v>1</v>
      </c>
      <c r="C521" s="1">
        <v>1609832.04</v>
      </c>
      <c r="D521" s="1">
        <v>1609832.04</v>
      </c>
      <c r="F521" t="s">
        <v>635</v>
      </c>
    </row>
    <row r="522" spans="1:6" x14ac:dyDescent="0.25">
      <c r="A522" t="s">
        <v>155</v>
      </c>
      <c r="B522">
        <v>2</v>
      </c>
      <c r="C522" s="1">
        <v>1609832.04</v>
      </c>
      <c r="D522" s="1">
        <v>1609832.04</v>
      </c>
      <c r="F522" t="s">
        <v>635</v>
      </c>
    </row>
    <row r="523" spans="1:6" x14ac:dyDescent="0.25">
      <c r="A523" t="s">
        <v>155</v>
      </c>
      <c r="B523">
        <v>3</v>
      </c>
      <c r="C523" s="1">
        <v>1609832.03</v>
      </c>
      <c r="D523" s="1">
        <v>1609832.03</v>
      </c>
      <c r="F523" t="s">
        <v>635</v>
      </c>
    </row>
    <row r="524" spans="1:6" x14ac:dyDescent="0.25">
      <c r="A524" t="s">
        <v>362</v>
      </c>
      <c r="B524">
        <v>1</v>
      </c>
      <c r="C524" s="1">
        <v>2154623.92</v>
      </c>
      <c r="F524" t="s">
        <v>636</v>
      </c>
    </row>
    <row r="525" spans="1:6" x14ac:dyDescent="0.25">
      <c r="A525" t="s">
        <v>362</v>
      </c>
      <c r="B525">
        <v>2</v>
      </c>
      <c r="C525" s="1">
        <v>2154623.92</v>
      </c>
      <c r="F525" t="s">
        <v>636</v>
      </c>
    </row>
    <row r="526" spans="1:6" x14ac:dyDescent="0.25">
      <c r="A526" t="s">
        <v>362</v>
      </c>
      <c r="B526">
        <v>3</v>
      </c>
      <c r="C526" s="1">
        <v>2154623.9300000002</v>
      </c>
      <c r="F526" t="s">
        <v>636</v>
      </c>
    </row>
    <row r="527" spans="1:6" x14ac:dyDescent="0.25">
      <c r="A527" t="s">
        <v>160</v>
      </c>
      <c r="B527">
        <v>1</v>
      </c>
      <c r="C527" s="1">
        <v>657850.22</v>
      </c>
      <c r="D527" s="1">
        <v>657850.22</v>
      </c>
      <c r="F527" t="s">
        <v>635</v>
      </c>
    </row>
    <row r="528" spans="1:6" x14ac:dyDescent="0.25">
      <c r="A528" t="s">
        <v>160</v>
      </c>
      <c r="B528">
        <v>2</v>
      </c>
      <c r="C528" s="1">
        <v>657850.23</v>
      </c>
      <c r="D528" s="1">
        <v>657850.23</v>
      </c>
      <c r="F528" t="s">
        <v>635</v>
      </c>
    </row>
    <row r="529" spans="1:6" x14ac:dyDescent="0.25">
      <c r="A529" t="s">
        <v>160</v>
      </c>
      <c r="B529">
        <v>3</v>
      </c>
      <c r="C529" s="1">
        <v>657850.23</v>
      </c>
      <c r="F529" t="s">
        <v>636</v>
      </c>
    </row>
    <row r="530" spans="1:6" x14ac:dyDescent="0.25">
      <c r="A530" t="s">
        <v>160</v>
      </c>
      <c r="B530">
        <v>4</v>
      </c>
      <c r="C530" s="1">
        <v>657850.23</v>
      </c>
      <c r="D530" s="1">
        <v>657850.23</v>
      </c>
      <c r="F530" t="s">
        <v>635</v>
      </c>
    </row>
    <row r="531" spans="1:6" x14ac:dyDescent="0.25">
      <c r="A531" t="s">
        <v>367</v>
      </c>
      <c r="B531">
        <v>1</v>
      </c>
      <c r="C531" s="1">
        <v>2165291.23</v>
      </c>
      <c r="D531" s="1">
        <v>2165291.23</v>
      </c>
      <c r="F531" t="s">
        <v>635</v>
      </c>
    </row>
    <row r="532" spans="1:6" x14ac:dyDescent="0.25">
      <c r="A532" t="s">
        <v>367</v>
      </c>
      <c r="B532">
        <v>2</v>
      </c>
      <c r="C532" s="1">
        <v>2165291.23</v>
      </c>
      <c r="F532" t="s">
        <v>636</v>
      </c>
    </row>
    <row r="533" spans="1:6" x14ac:dyDescent="0.25">
      <c r="A533" t="s">
        <v>367</v>
      </c>
      <c r="B533">
        <v>3</v>
      </c>
      <c r="C533" s="1">
        <v>2165291.23</v>
      </c>
      <c r="F533" t="s">
        <v>636</v>
      </c>
    </row>
    <row r="534" spans="1:6" x14ac:dyDescent="0.25">
      <c r="A534" t="s">
        <v>163</v>
      </c>
      <c r="B534">
        <v>1</v>
      </c>
      <c r="C534" s="1">
        <v>718089.09</v>
      </c>
      <c r="F534" t="s">
        <v>636</v>
      </c>
    </row>
    <row r="535" spans="1:6" x14ac:dyDescent="0.25">
      <c r="A535" t="s">
        <v>163</v>
      </c>
      <c r="B535">
        <v>2</v>
      </c>
      <c r="C535" s="1">
        <v>718089.09</v>
      </c>
      <c r="F535" t="s">
        <v>636</v>
      </c>
    </row>
    <row r="536" spans="1:6" x14ac:dyDescent="0.25">
      <c r="A536" t="s">
        <v>372</v>
      </c>
      <c r="B536">
        <v>1</v>
      </c>
      <c r="C536" s="1">
        <v>2154623.9300000002</v>
      </c>
      <c r="F536" t="s">
        <v>636</v>
      </c>
    </row>
    <row r="537" spans="1:6" x14ac:dyDescent="0.25">
      <c r="A537" t="s">
        <v>372</v>
      </c>
      <c r="B537">
        <v>2</v>
      </c>
      <c r="C537" s="1">
        <v>2154623.9300000002</v>
      </c>
      <c r="F537" t="s">
        <v>636</v>
      </c>
    </row>
    <row r="538" spans="1:6" x14ac:dyDescent="0.25">
      <c r="A538" t="s">
        <v>372</v>
      </c>
      <c r="B538">
        <v>3</v>
      </c>
      <c r="C538" s="1">
        <v>2154623.92</v>
      </c>
      <c r="F538" t="s">
        <v>636</v>
      </c>
    </row>
    <row r="539" spans="1:6" x14ac:dyDescent="0.25">
      <c r="A539" t="s">
        <v>377</v>
      </c>
      <c r="B539">
        <v>1</v>
      </c>
      <c r="C539" s="1">
        <v>2109735.9300000002</v>
      </c>
      <c r="D539" s="1">
        <v>2109735.9300000002</v>
      </c>
      <c r="F539" t="s">
        <v>635</v>
      </c>
    </row>
    <row r="540" spans="1:6" x14ac:dyDescent="0.25">
      <c r="A540" t="s">
        <v>377</v>
      </c>
      <c r="B540">
        <v>2</v>
      </c>
      <c r="C540" s="1">
        <v>2109735.9300000002</v>
      </c>
      <c r="F540" t="s">
        <v>636</v>
      </c>
    </row>
    <row r="541" spans="1:6" x14ac:dyDescent="0.25">
      <c r="A541" t="s">
        <v>377</v>
      </c>
      <c r="B541">
        <v>3</v>
      </c>
      <c r="C541" s="1">
        <v>2109735.9300000002</v>
      </c>
      <c r="F541" t="s">
        <v>636</v>
      </c>
    </row>
    <row r="542" spans="1:6" x14ac:dyDescent="0.25">
      <c r="A542" t="s">
        <v>382</v>
      </c>
      <c r="B542">
        <v>1</v>
      </c>
      <c r="C542" s="1">
        <v>2165291.23</v>
      </c>
      <c r="D542" s="1">
        <v>2165291.23</v>
      </c>
      <c r="F542" t="s">
        <v>635</v>
      </c>
    </row>
    <row r="543" spans="1:6" x14ac:dyDescent="0.25">
      <c r="A543" t="s">
        <v>382</v>
      </c>
      <c r="B543">
        <v>2</v>
      </c>
      <c r="C543" s="1">
        <v>2165291.23</v>
      </c>
      <c r="F543" t="s">
        <v>636</v>
      </c>
    </row>
    <row r="544" spans="1:6" x14ac:dyDescent="0.25">
      <c r="A544" t="s">
        <v>382</v>
      </c>
      <c r="B544">
        <v>3</v>
      </c>
      <c r="C544" s="1">
        <v>2165291.23</v>
      </c>
      <c r="F544" t="s">
        <v>636</v>
      </c>
    </row>
    <row r="545" spans="1:6" x14ac:dyDescent="0.25">
      <c r="A545" t="s">
        <v>387</v>
      </c>
      <c r="B545">
        <v>1</v>
      </c>
      <c r="C545" s="1">
        <v>2154623.94</v>
      </c>
      <c r="D545" s="1">
        <v>2154623.94</v>
      </c>
      <c r="F545" t="s">
        <v>635</v>
      </c>
    </row>
    <row r="546" spans="1:6" x14ac:dyDescent="0.25">
      <c r="A546" t="s">
        <v>387</v>
      </c>
      <c r="B546">
        <v>2</v>
      </c>
      <c r="C546" s="1">
        <v>2154623.92</v>
      </c>
      <c r="D546" s="1">
        <v>2154623.92</v>
      </c>
      <c r="F546" t="s">
        <v>635</v>
      </c>
    </row>
    <row r="547" spans="1:6" x14ac:dyDescent="0.25">
      <c r="A547" t="s">
        <v>387</v>
      </c>
      <c r="B547">
        <v>3</v>
      </c>
      <c r="C547" s="1">
        <v>2154623.92</v>
      </c>
      <c r="F547" t="s">
        <v>636</v>
      </c>
    </row>
    <row r="548" spans="1:6" x14ac:dyDescent="0.25">
      <c r="A548" t="s">
        <v>390</v>
      </c>
      <c r="B548">
        <v>1</v>
      </c>
      <c r="C548" s="1">
        <v>2165291.23</v>
      </c>
      <c r="F548" t="s">
        <v>636</v>
      </c>
    </row>
    <row r="549" spans="1:6" x14ac:dyDescent="0.25">
      <c r="A549" t="s">
        <v>390</v>
      </c>
      <c r="B549">
        <v>2</v>
      </c>
      <c r="C549" s="1">
        <v>2165291.23</v>
      </c>
      <c r="F549" t="s">
        <v>636</v>
      </c>
    </row>
    <row r="550" spans="1:6" x14ac:dyDescent="0.25">
      <c r="A550" t="s">
        <v>390</v>
      </c>
      <c r="B550">
        <v>3</v>
      </c>
      <c r="C550" s="1">
        <v>2165291.23</v>
      </c>
      <c r="F550" t="s">
        <v>636</v>
      </c>
    </row>
    <row r="551" spans="1:6" x14ac:dyDescent="0.25">
      <c r="A551" t="s">
        <v>395</v>
      </c>
      <c r="B551">
        <v>1</v>
      </c>
      <c r="C551" s="1">
        <v>2132179.9300000002</v>
      </c>
      <c r="F551" t="s">
        <v>636</v>
      </c>
    </row>
    <row r="552" spans="1:6" x14ac:dyDescent="0.25">
      <c r="A552" t="s">
        <v>395</v>
      </c>
      <c r="B552">
        <v>2</v>
      </c>
      <c r="C552" s="1">
        <v>2132179.9300000002</v>
      </c>
      <c r="F552" t="s">
        <v>636</v>
      </c>
    </row>
    <row r="553" spans="1:6" x14ac:dyDescent="0.25">
      <c r="A553" t="s">
        <v>395</v>
      </c>
      <c r="B553">
        <v>3</v>
      </c>
      <c r="C553" s="1">
        <v>2132179.9300000002</v>
      </c>
      <c r="F553" t="s">
        <v>636</v>
      </c>
    </row>
    <row r="554" spans="1:6" x14ac:dyDescent="0.25">
      <c r="A554" t="s">
        <v>398</v>
      </c>
      <c r="B554">
        <v>1</v>
      </c>
      <c r="C554" s="1">
        <v>2132179.9300000002</v>
      </c>
      <c r="F554" t="s">
        <v>636</v>
      </c>
    </row>
    <row r="555" spans="1:6" x14ac:dyDescent="0.25">
      <c r="A555" t="s">
        <v>398</v>
      </c>
      <c r="B555">
        <v>2</v>
      </c>
      <c r="C555" s="1">
        <v>2132179.9300000002</v>
      </c>
      <c r="F555" t="s">
        <v>636</v>
      </c>
    </row>
    <row r="556" spans="1:6" x14ac:dyDescent="0.25">
      <c r="A556" t="s">
        <v>398</v>
      </c>
      <c r="B556">
        <v>3</v>
      </c>
      <c r="C556" s="1">
        <v>2132179.9300000002</v>
      </c>
      <c r="F556" t="s">
        <v>636</v>
      </c>
    </row>
    <row r="557" spans="1:6" x14ac:dyDescent="0.25">
      <c r="A557" t="s">
        <v>403</v>
      </c>
      <c r="B557">
        <v>1</v>
      </c>
      <c r="C557" s="1">
        <v>2154623.9300000002</v>
      </c>
      <c r="D557" s="1">
        <v>2154623.9300000002</v>
      </c>
      <c r="F557" t="s">
        <v>635</v>
      </c>
    </row>
    <row r="558" spans="1:6" x14ac:dyDescent="0.25">
      <c r="A558" t="s">
        <v>403</v>
      </c>
      <c r="B558">
        <v>2</v>
      </c>
      <c r="C558" s="1">
        <v>2154623.92</v>
      </c>
      <c r="D558" s="1">
        <v>2154623.92</v>
      </c>
      <c r="F558" t="s">
        <v>635</v>
      </c>
    </row>
    <row r="559" spans="1:6" x14ac:dyDescent="0.25">
      <c r="A559" t="s">
        <v>403</v>
      </c>
      <c r="B559">
        <v>3</v>
      </c>
      <c r="C559" s="1">
        <v>2154623.92</v>
      </c>
      <c r="D559" s="1">
        <v>2154623.92</v>
      </c>
      <c r="F559" t="s">
        <v>635</v>
      </c>
    </row>
    <row r="560" spans="1:6" x14ac:dyDescent="0.25">
      <c r="A560" t="s">
        <v>406</v>
      </c>
      <c r="B560">
        <v>1</v>
      </c>
      <c r="C560" s="1">
        <v>2109735.9300000002</v>
      </c>
      <c r="F560" t="s">
        <v>636</v>
      </c>
    </row>
    <row r="561" spans="1:6" x14ac:dyDescent="0.25">
      <c r="A561" t="s">
        <v>406</v>
      </c>
      <c r="B561">
        <v>2</v>
      </c>
      <c r="C561" s="1">
        <v>2109735.9300000002</v>
      </c>
      <c r="F561" t="s">
        <v>636</v>
      </c>
    </row>
    <row r="562" spans="1:6" x14ac:dyDescent="0.25">
      <c r="A562" t="s">
        <v>406</v>
      </c>
      <c r="B562">
        <v>3</v>
      </c>
      <c r="C562" s="1">
        <v>2109735.9300000002</v>
      </c>
      <c r="F562" t="s">
        <v>636</v>
      </c>
    </row>
    <row r="563" spans="1:6" x14ac:dyDescent="0.25">
      <c r="A563" t="s">
        <v>3</v>
      </c>
      <c r="B563">
        <v>1</v>
      </c>
      <c r="C563" s="1">
        <v>426344.15</v>
      </c>
      <c r="D563" s="1">
        <v>426344.15</v>
      </c>
      <c r="F563" t="s">
        <v>635</v>
      </c>
    </row>
    <row r="564" spans="1:6" x14ac:dyDescent="0.25">
      <c r="A564" t="s">
        <v>3</v>
      </c>
      <c r="B564">
        <v>2</v>
      </c>
      <c r="C564" s="1">
        <v>426344.15</v>
      </c>
      <c r="D564" s="1">
        <v>426344.15</v>
      </c>
      <c r="F564" t="s">
        <v>635</v>
      </c>
    </row>
    <row r="565" spans="1:6" x14ac:dyDescent="0.25">
      <c r="A565" t="s">
        <v>3</v>
      </c>
      <c r="B565">
        <v>3</v>
      </c>
      <c r="C565" s="1">
        <v>426344.15</v>
      </c>
      <c r="D565" s="1">
        <v>426344.15</v>
      </c>
      <c r="F565" t="s">
        <v>635</v>
      </c>
    </row>
    <row r="566" spans="1:6" x14ac:dyDescent="0.25">
      <c r="A566" t="s">
        <v>3</v>
      </c>
      <c r="B566">
        <v>4</v>
      </c>
      <c r="C566" s="1">
        <v>426344.15</v>
      </c>
      <c r="D566" s="1">
        <v>426344.15</v>
      </c>
      <c r="F566" t="s">
        <v>635</v>
      </c>
    </row>
    <row r="567" spans="1:6" x14ac:dyDescent="0.25">
      <c r="A567" t="s">
        <v>3</v>
      </c>
      <c r="B567">
        <v>5</v>
      </c>
      <c r="C567" s="1">
        <v>426344.15</v>
      </c>
      <c r="D567" s="1">
        <v>426344.15</v>
      </c>
      <c r="F567" t="s">
        <v>635</v>
      </c>
    </row>
    <row r="568" spans="1:6" x14ac:dyDescent="0.25">
      <c r="A568" t="s">
        <v>3</v>
      </c>
      <c r="B568">
        <v>6</v>
      </c>
      <c r="C568" s="1">
        <v>426344.15</v>
      </c>
      <c r="D568" s="1">
        <v>426344.15</v>
      </c>
      <c r="F568" t="s">
        <v>635</v>
      </c>
    </row>
    <row r="569" spans="1:6" x14ac:dyDescent="0.25">
      <c r="A569" t="s">
        <v>9</v>
      </c>
      <c r="B569">
        <v>1</v>
      </c>
      <c r="C569" s="1">
        <v>386235</v>
      </c>
      <c r="D569" s="1">
        <v>386235</v>
      </c>
      <c r="F569" t="s">
        <v>635</v>
      </c>
    </row>
    <row r="570" spans="1:6" x14ac:dyDescent="0.25">
      <c r="A570" t="s">
        <v>9</v>
      </c>
      <c r="B570">
        <v>2</v>
      </c>
      <c r="C570" s="1">
        <v>491542.26</v>
      </c>
      <c r="D570" s="1">
        <v>491542.26</v>
      </c>
      <c r="F570" t="s">
        <v>635</v>
      </c>
    </row>
    <row r="571" spans="1:6" x14ac:dyDescent="0.25">
      <c r="A571" t="s">
        <v>9</v>
      </c>
      <c r="B571">
        <v>3</v>
      </c>
      <c r="C571" s="1">
        <v>491542.27</v>
      </c>
      <c r="D571" s="1">
        <v>491542.27</v>
      </c>
      <c r="F571" t="s">
        <v>635</v>
      </c>
    </row>
    <row r="572" spans="1:6" x14ac:dyDescent="0.25">
      <c r="A572" t="s">
        <v>9</v>
      </c>
      <c r="B572">
        <v>4</v>
      </c>
      <c r="C572" s="1">
        <v>491542.27</v>
      </c>
      <c r="D572" s="1">
        <v>491542.27</v>
      </c>
      <c r="F572" t="s">
        <v>635</v>
      </c>
    </row>
    <row r="573" spans="1:6" x14ac:dyDescent="0.25">
      <c r="A573" t="s">
        <v>9</v>
      </c>
      <c r="B573">
        <v>5</v>
      </c>
      <c r="C573" s="1">
        <v>491542.27</v>
      </c>
      <c r="F573" t="s">
        <v>636</v>
      </c>
    </row>
    <row r="574" spans="1:6" x14ac:dyDescent="0.25">
      <c r="A574" t="s">
        <v>9</v>
      </c>
      <c r="B574">
        <v>6</v>
      </c>
      <c r="C574" s="1">
        <v>491542.27</v>
      </c>
      <c r="F574" t="s">
        <v>636</v>
      </c>
    </row>
    <row r="575" spans="1:6" x14ac:dyDescent="0.25">
      <c r="A575" t="s">
        <v>9</v>
      </c>
      <c r="B575">
        <v>7</v>
      </c>
      <c r="C575" s="1">
        <v>491542.27</v>
      </c>
      <c r="F575" t="s">
        <v>636</v>
      </c>
    </row>
    <row r="576" spans="1:6" x14ac:dyDescent="0.25">
      <c r="A576" t="s">
        <v>14</v>
      </c>
      <c r="B576">
        <v>1</v>
      </c>
      <c r="C576" s="1">
        <v>148660.32</v>
      </c>
      <c r="D576" s="1">
        <v>148660.32</v>
      </c>
      <c r="F576" t="s">
        <v>635</v>
      </c>
    </row>
    <row r="577" spans="1:6" x14ac:dyDescent="0.25">
      <c r="A577" t="s">
        <v>14</v>
      </c>
      <c r="B577">
        <v>2</v>
      </c>
      <c r="C577" s="1">
        <v>489749.93</v>
      </c>
      <c r="D577" s="1">
        <v>489749.93</v>
      </c>
      <c r="F577" t="s">
        <v>635</v>
      </c>
    </row>
    <row r="578" spans="1:6" x14ac:dyDescent="0.25">
      <c r="A578" t="s">
        <v>14</v>
      </c>
      <c r="B578">
        <v>3</v>
      </c>
      <c r="C578" s="1">
        <v>489749.93</v>
      </c>
      <c r="D578" s="1">
        <v>489749.93</v>
      </c>
      <c r="F578" t="s">
        <v>635</v>
      </c>
    </row>
    <row r="579" spans="1:6" x14ac:dyDescent="0.25">
      <c r="A579" t="s">
        <v>14</v>
      </c>
      <c r="B579">
        <v>4</v>
      </c>
      <c r="C579" s="1">
        <v>489749.93</v>
      </c>
      <c r="D579" s="1">
        <v>489749.93</v>
      </c>
      <c r="F579" t="s">
        <v>635</v>
      </c>
    </row>
    <row r="580" spans="1:6" x14ac:dyDescent="0.25">
      <c r="A580" t="s">
        <v>14</v>
      </c>
      <c r="B580">
        <v>5</v>
      </c>
      <c r="C580" s="1">
        <v>489749.93</v>
      </c>
      <c r="D580" s="1">
        <v>489749.93</v>
      </c>
      <c r="F580" t="s">
        <v>635</v>
      </c>
    </row>
    <row r="581" spans="1:6" x14ac:dyDescent="0.25">
      <c r="A581" t="s">
        <v>14</v>
      </c>
      <c r="B581">
        <v>6</v>
      </c>
      <c r="C581" s="1">
        <v>489749.93</v>
      </c>
      <c r="D581" s="1">
        <v>489749.93</v>
      </c>
      <c r="F581" t="s">
        <v>635</v>
      </c>
    </row>
    <row r="582" spans="1:6" x14ac:dyDescent="0.25">
      <c r="A582" t="s">
        <v>14</v>
      </c>
      <c r="B582">
        <v>7</v>
      </c>
      <c r="C582" s="1">
        <v>428044.92</v>
      </c>
      <c r="D582" s="1">
        <v>428044.92</v>
      </c>
      <c r="F582" t="s">
        <v>635</v>
      </c>
    </row>
    <row r="583" spans="1:6" x14ac:dyDescent="0.25">
      <c r="A583" t="s">
        <v>14</v>
      </c>
      <c r="B583">
        <v>8</v>
      </c>
      <c r="C583" s="1">
        <v>428044.92</v>
      </c>
      <c r="D583" s="1">
        <v>428044.92</v>
      </c>
      <c r="F583" t="s">
        <v>635</v>
      </c>
    </row>
    <row r="584" spans="1:6" x14ac:dyDescent="0.25">
      <c r="A584" t="s">
        <v>557</v>
      </c>
      <c r="B584">
        <v>1</v>
      </c>
      <c r="C584" s="1">
        <v>127875.6</v>
      </c>
      <c r="F584" t="s">
        <v>636</v>
      </c>
    </row>
    <row r="585" spans="1:6" x14ac:dyDescent="0.25">
      <c r="A585" t="s">
        <v>557</v>
      </c>
      <c r="B585">
        <v>2</v>
      </c>
      <c r="C585" s="1">
        <v>607409.07999999996</v>
      </c>
      <c r="F585" t="s">
        <v>636</v>
      </c>
    </row>
    <row r="586" spans="1:6" x14ac:dyDescent="0.25">
      <c r="A586" t="s">
        <v>557</v>
      </c>
      <c r="B586">
        <v>3</v>
      </c>
      <c r="C586" s="1">
        <v>607409.07999999996</v>
      </c>
      <c r="F586" t="s">
        <v>636</v>
      </c>
    </row>
    <row r="587" spans="1:6" x14ac:dyDescent="0.25">
      <c r="A587" t="s">
        <v>557</v>
      </c>
      <c r="B587">
        <v>4</v>
      </c>
      <c r="C587" s="1">
        <v>607409.07999999996</v>
      </c>
      <c r="F587" t="s">
        <v>636</v>
      </c>
    </row>
    <row r="588" spans="1:6" x14ac:dyDescent="0.25">
      <c r="A588" t="s">
        <v>557</v>
      </c>
      <c r="B588">
        <v>5</v>
      </c>
      <c r="C588" s="1">
        <v>607409.07999999996</v>
      </c>
      <c r="F588" t="s">
        <v>636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6"/>
  <sheetViews>
    <sheetView workbookViewId="0">
      <selection activeCell="B10" sqref="B10"/>
    </sheetView>
  </sheetViews>
  <sheetFormatPr defaultRowHeight="15" x14ac:dyDescent="0.25"/>
  <cols>
    <col min="1" max="1" width="19.28515625" customWidth="1"/>
    <col min="2" max="2" width="15.7109375" customWidth="1"/>
  </cols>
  <sheetData>
    <row r="1" spans="1:2" x14ac:dyDescent="0.25">
      <c r="A1" t="s">
        <v>618</v>
      </c>
      <c r="B1" t="s">
        <v>619</v>
      </c>
    </row>
    <row r="2" spans="1:2" x14ac:dyDescent="0.25">
      <c r="A2" t="s">
        <v>3</v>
      </c>
      <c r="B2" t="s">
        <v>4</v>
      </c>
    </row>
    <row r="3" spans="1:2" x14ac:dyDescent="0.25">
      <c r="A3" t="s">
        <v>9</v>
      </c>
      <c r="B3" t="s">
        <v>10</v>
      </c>
    </row>
    <row r="4" spans="1:2" x14ac:dyDescent="0.25">
      <c r="A4" t="s">
        <v>14</v>
      </c>
      <c r="B4" t="s">
        <v>15</v>
      </c>
    </row>
    <row r="5" spans="1:2" x14ac:dyDescent="0.25">
      <c r="A5" t="s">
        <v>19</v>
      </c>
      <c r="B5" t="s">
        <v>20</v>
      </c>
    </row>
    <row r="6" spans="1:2" x14ac:dyDescent="0.25">
      <c r="A6" t="s">
        <v>23</v>
      </c>
      <c r="B6" t="s">
        <v>24</v>
      </c>
    </row>
    <row r="7" spans="1:2" x14ac:dyDescent="0.25">
      <c r="A7" t="s">
        <v>28</v>
      </c>
      <c r="B7" t="s">
        <v>29</v>
      </c>
    </row>
    <row r="8" spans="1:2" x14ac:dyDescent="0.25">
      <c r="A8" t="s">
        <v>33</v>
      </c>
      <c r="B8" t="s">
        <v>34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41</v>
      </c>
      <c r="B10" s="18" t="s">
        <v>42</v>
      </c>
    </row>
    <row r="11" spans="1:2" x14ac:dyDescent="0.25">
      <c r="A11" t="s">
        <v>44</v>
      </c>
      <c r="B11" t="s">
        <v>45</v>
      </c>
    </row>
    <row r="12" spans="1:2" x14ac:dyDescent="0.25">
      <c r="A12" t="s">
        <v>49</v>
      </c>
      <c r="B12" t="s">
        <v>50</v>
      </c>
    </row>
    <row r="13" spans="1:2" x14ac:dyDescent="0.25">
      <c r="A13" t="s">
        <v>54</v>
      </c>
      <c r="B13" t="s">
        <v>55</v>
      </c>
    </row>
    <row r="14" spans="1:2" x14ac:dyDescent="0.25">
      <c r="A14" t="s">
        <v>59</v>
      </c>
      <c r="B14" t="s">
        <v>60</v>
      </c>
    </row>
    <row r="15" spans="1:2" x14ac:dyDescent="0.25">
      <c r="A15" t="s">
        <v>64</v>
      </c>
      <c r="B15" t="s">
        <v>65</v>
      </c>
    </row>
    <row r="16" spans="1:2" x14ac:dyDescent="0.25">
      <c r="A16" t="s">
        <v>69</v>
      </c>
      <c r="B16" t="s">
        <v>70</v>
      </c>
    </row>
    <row r="17" spans="1:2" x14ac:dyDescent="0.25">
      <c r="A17" t="s">
        <v>74</v>
      </c>
      <c r="B17" t="s">
        <v>75</v>
      </c>
    </row>
    <row r="18" spans="1:2" x14ac:dyDescent="0.25">
      <c r="A18" t="s">
        <v>79</v>
      </c>
      <c r="B18" t="s">
        <v>80</v>
      </c>
    </row>
    <row r="19" spans="1:2" x14ac:dyDescent="0.25">
      <c r="A19" t="s">
        <v>84</v>
      </c>
      <c r="B19" t="s">
        <v>85</v>
      </c>
    </row>
    <row r="20" spans="1:2" x14ac:dyDescent="0.25">
      <c r="A20" t="s">
        <v>89</v>
      </c>
      <c r="B20" t="s">
        <v>90</v>
      </c>
    </row>
    <row r="21" spans="1:2" x14ac:dyDescent="0.25">
      <c r="A21" t="s">
        <v>94</v>
      </c>
      <c r="B21" t="s">
        <v>95</v>
      </c>
    </row>
    <row r="22" spans="1:2" x14ac:dyDescent="0.25">
      <c r="A22" t="s">
        <v>97</v>
      </c>
      <c r="B22" t="s">
        <v>98</v>
      </c>
    </row>
    <row r="23" spans="1:2" x14ac:dyDescent="0.25">
      <c r="A23" t="s">
        <v>102</v>
      </c>
      <c r="B23" t="s">
        <v>103</v>
      </c>
    </row>
    <row r="24" spans="1:2" x14ac:dyDescent="0.25">
      <c r="A24" t="s">
        <v>107</v>
      </c>
      <c r="B24" t="s">
        <v>108</v>
      </c>
    </row>
    <row r="25" spans="1:2" x14ac:dyDescent="0.25">
      <c r="A25" t="s">
        <v>112</v>
      </c>
      <c r="B25" t="s">
        <v>113</v>
      </c>
    </row>
    <row r="26" spans="1:2" x14ac:dyDescent="0.25">
      <c r="A26" t="s">
        <v>117</v>
      </c>
      <c r="B26" t="s">
        <v>118</v>
      </c>
    </row>
    <row r="27" spans="1:2" x14ac:dyDescent="0.25">
      <c r="A27" t="s">
        <v>122</v>
      </c>
      <c r="B27" t="s">
        <v>123</v>
      </c>
    </row>
    <row r="28" spans="1:2" x14ac:dyDescent="0.25">
      <c r="A28" t="s">
        <v>127</v>
      </c>
      <c r="B28" t="s">
        <v>128</v>
      </c>
    </row>
    <row r="29" spans="1:2" x14ac:dyDescent="0.25">
      <c r="A29" t="s">
        <v>132</v>
      </c>
      <c r="B29" t="s">
        <v>133</v>
      </c>
    </row>
    <row r="30" spans="1:2" x14ac:dyDescent="0.25">
      <c r="A30" t="s">
        <v>137</v>
      </c>
      <c r="B30" t="s">
        <v>138</v>
      </c>
    </row>
    <row r="31" spans="1:2" x14ac:dyDescent="0.25">
      <c r="A31" t="s">
        <v>140</v>
      </c>
      <c r="B31" t="s">
        <v>141</v>
      </c>
    </row>
    <row r="32" spans="1:2" x14ac:dyDescent="0.25">
      <c r="A32" t="s">
        <v>145</v>
      </c>
      <c r="B32" t="s">
        <v>146</v>
      </c>
    </row>
    <row r="33" spans="1:2" x14ac:dyDescent="0.25">
      <c r="A33" t="s">
        <v>150</v>
      </c>
      <c r="B33" t="s">
        <v>151</v>
      </c>
    </row>
    <row r="34" spans="1:2" x14ac:dyDescent="0.25">
      <c r="A34" t="s">
        <v>155</v>
      </c>
      <c r="B34" t="s">
        <v>156</v>
      </c>
    </row>
    <row r="35" spans="1:2" x14ac:dyDescent="0.25">
      <c r="A35" t="s">
        <v>160</v>
      </c>
      <c r="B35" t="s">
        <v>161</v>
      </c>
    </row>
    <row r="36" spans="1:2" x14ac:dyDescent="0.25">
      <c r="A36" t="s">
        <v>163</v>
      </c>
      <c r="B36" t="s">
        <v>164</v>
      </c>
    </row>
    <row r="37" spans="1:2" x14ac:dyDescent="0.25">
      <c r="A37" t="s">
        <v>168</v>
      </c>
      <c r="B37" t="s">
        <v>169</v>
      </c>
    </row>
    <row r="38" spans="1:2" x14ac:dyDescent="0.25">
      <c r="A38" t="s">
        <v>171</v>
      </c>
      <c r="B38" t="s">
        <v>172</v>
      </c>
    </row>
    <row r="39" spans="1:2" x14ac:dyDescent="0.25">
      <c r="A39" t="s">
        <v>176</v>
      </c>
      <c r="B39" t="s">
        <v>177</v>
      </c>
    </row>
    <row r="40" spans="1:2" x14ac:dyDescent="0.25">
      <c r="A40" t="s">
        <v>181</v>
      </c>
      <c r="B40" t="s">
        <v>182</v>
      </c>
    </row>
    <row r="41" spans="1:2" x14ac:dyDescent="0.25">
      <c r="A41" t="s">
        <v>186</v>
      </c>
      <c r="B41" t="s">
        <v>187</v>
      </c>
    </row>
    <row r="42" spans="1:2" x14ac:dyDescent="0.25">
      <c r="A42" t="s">
        <v>191</v>
      </c>
      <c r="B42" t="s">
        <v>192</v>
      </c>
    </row>
    <row r="43" spans="1:2" x14ac:dyDescent="0.25">
      <c r="A43" t="s">
        <v>194</v>
      </c>
      <c r="B43" t="s">
        <v>195</v>
      </c>
    </row>
    <row r="44" spans="1:2" x14ac:dyDescent="0.25">
      <c r="A44" t="s">
        <v>199</v>
      </c>
      <c r="B44" t="s">
        <v>200</v>
      </c>
    </row>
    <row r="45" spans="1:2" x14ac:dyDescent="0.25">
      <c r="A45" t="s">
        <v>204</v>
      </c>
      <c r="B45" t="s">
        <v>205</v>
      </c>
    </row>
    <row r="46" spans="1:2" x14ac:dyDescent="0.25">
      <c r="A46" t="s">
        <v>209</v>
      </c>
      <c r="B46" t="s">
        <v>210</v>
      </c>
    </row>
    <row r="47" spans="1:2" x14ac:dyDescent="0.25">
      <c r="A47" t="s">
        <v>214</v>
      </c>
      <c r="B47" t="s">
        <v>215</v>
      </c>
    </row>
    <row r="48" spans="1:2" x14ac:dyDescent="0.25">
      <c r="A48" t="s">
        <v>218</v>
      </c>
      <c r="B48" t="s">
        <v>219</v>
      </c>
    </row>
    <row r="49" spans="1:2" x14ac:dyDescent="0.25">
      <c r="A49" t="s">
        <v>223</v>
      </c>
      <c r="B49" t="s">
        <v>224</v>
      </c>
    </row>
    <row r="50" spans="1:2" x14ac:dyDescent="0.25">
      <c r="A50" t="s">
        <v>226</v>
      </c>
      <c r="B50" t="s">
        <v>227</v>
      </c>
    </row>
    <row r="51" spans="1:2" x14ac:dyDescent="0.25">
      <c r="A51" t="s">
        <v>231</v>
      </c>
      <c r="B51" t="s">
        <v>232</v>
      </c>
    </row>
    <row r="52" spans="1:2" x14ac:dyDescent="0.25">
      <c r="A52" t="s">
        <v>236</v>
      </c>
      <c r="B52" t="s">
        <v>237</v>
      </c>
    </row>
    <row r="53" spans="1:2" x14ac:dyDescent="0.25">
      <c r="A53" t="s">
        <v>239</v>
      </c>
      <c r="B53" t="s">
        <v>240</v>
      </c>
    </row>
    <row r="54" spans="1:2" x14ac:dyDescent="0.25">
      <c r="A54" t="s">
        <v>244</v>
      </c>
      <c r="B54" t="s">
        <v>245</v>
      </c>
    </row>
    <row r="55" spans="1:2" x14ac:dyDescent="0.25">
      <c r="A55" t="s">
        <v>249</v>
      </c>
      <c r="B55" t="s">
        <v>250</v>
      </c>
    </row>
    <row r="56" spans="1:2" x14ac:dyDescent="0.25">
      <c r="A56" t="s">
        <v>254</v>
      </c>
      <c r="B56" t="s">
        <v>255</v>
      </c>
    </row>
    <row r="57" spans="1:2" x14ac:dyDescent="0.25">
      <c r="A57" t="s">
        <v>258</v>
      </c>
      <c r="B57" t="s">
        <v>259</v>
      </c>
    </row>
    <row r="58" spans="1:2" x14ac:dyDescent="0.25">
      <c r="A58" t="s">
        <v>261</v>
      </c>
      <c r="B58" t="s">
        <v>262</v>
      </c>
    </row>
    <row r="59" spans="1:2" x14ac:dyDescent="0.25">
      <c r="A59" t="s">
        <v>265</v>
      </c>
      <c r="B59" t="s">
        <v>266</v>
      </c>
    </row>
    <row r="60" spans="1:2" x14ac:dyDescent="0.25">
      <c r="A60" t="s">
        <v>270</v>
      </c>
      <c r="B60" t="s">
        <v>271</v>
      </c>
    </row>
    <row r="61" spans="1:2" x14ac:dyDescent="0.25">
      <c r="A61" t="s">
        <v>275</v>
      </c>
      <c r="B61" t="s">
        <v>276</v>
      </c>
    </row>
    <row r="62" spans="1:2" x14ac:dyDescent="0.25">
      <c r="A62" t="s">
        <v>279</v>
      </c>
      <c r="B62" t="s">
        <v>280</v>
      </c>
    </row>
    <row r="63" spans="1:2" x14ac:dyDescent="0.25">
      <c r="A63" t="s">
        <v>283</v>
      </c>
      <c r="B63" t="s">
        <v>284</v>
      </c>
    </row>
    <row r="64" spans="1:2" x14ac:dyDescent="0.25">
      <c r="A64" t="s">
        <v>286</v>
      </c>
      <c r="B64" t="s">
        <v>287</v>
      </c>
    </row>
    <row r="65" spans="1:2" x14ac:dyDescent="0.25">
      <c r="A65" t="s">
        <v>290</v>
      </c>
      <c r="B65" t="s">
        <v>291</v>
      </c>
    </row>
    <row r="66" spans="1:2" x14ac:dyDescent="0.25">
      <c r="A66" t="s">
        <v>295</v>
      </c>
      <c r="B66" t="s">
        <v>296</v>
      </c>
    </row>
    <row r="67" spans="1:2" x14ac:dyDescent="0.25">
      <c r="A67" t="s">
        <v>300</v>
      </c>
      <c r="B67" t="s">
        <v>301</v>
      </c>
    </row>
    <row r="68" spans="1:2" x14ac:dyDescent="0.25">
      <c r="A68" t="s">
        <v>303</v>
      </c>
      <c r="B68" t="s">
        <v>304</v>
      </c>
    </row>
    <row r="69" spans="1:2" x14ac:dyDescent="0.25">
      <c r="A69" t="s">
        <v>306</v>
      </c>
      <c r="B69" t="s">
        <v>307</v>
      </c>
    </row>
    <row r="70" spans="1:2" x14ac:dyDescent="0.25">
      <c r="A70" t="s">
        <v>309</v>
      </c>
      <c r="B70" t="s">
        <v>310</v>
      </c>
    </row>
    <row r="71" spans="1:2" x14ac:dyDescent="0.25">
      <c r="A71" t="s">
        <v>312</v>
      </c>
      <c r="B71" t="s">
        <v>313</v>
      </c>
    </row>
    <row r="72" spans="1:2" x14ac:dyDescent="0.25">
      <c r="A72" t="s">
        <v>317</v>
      </c>
      <c r="B72" t="s">
        <v>318</v>
      </c>
    </row>
    <row r="73" spans="1:2" x14ac:dyDescent="0.25">
      <c r="A73" t="s">
        <v>322</v>
      </c>
      <c r="B73" t="s">
        <v>323</v>
      </c>
    </row>
    <row r="74" spans="1:2" x14ac:dyDescent="0.25">
      <c r="A74" t="s">
        <v>327</v>
      </c>
      <c r="B74" t="s">
        <v>328</v>
      </c>
    </row>
    <row r="75" spans="1:2" x14ac:dyDescent="0.25">
      <c r="A75" t="s">
        <v>332</v>
      </c>
      <c r="B75" t="s">
        <v>333</v>
      </c>
    </row>
    <row r="76" spans="1:2" x14ac:dyDescent="0.25">
      <c r="A76" t="s">
        <v>337</v>
      </c>
      <c r="B76" t="s">
        <v>338</v>
      </c>
    </row>
    <row r="77" spans="1:2" x14ac:dyDescent="0.25">
      <c r="A77" t="s">
        <v>342</v>
      </c>
      <c r="B77" t="s">
        <v>343</v>
      </c>
    </row>
    <row r="78" spans="1:2" x14ac:dyDescent="0.25">
      <c r="A78" t="s">
        <v>347</v>
      </c>
      <c r="B78" t="s">
        <v>348</v>
      </c>
    </row>
    <row r="79" spans="1:2" x14ac:dyDescent="0.25">
      <c r="A79" t="s">
        <v>352</v>
      </c>
      <c r="B79" t="s">
        <v>353</v>
      </c>
    </row>
    <row r="80" spans="1:2" x14ac:dyDescent="0.25">
      <c r="A80" t="s">
        <v>357</v>
      </c>
      <c r="B80" t="s">
        <v>358</v>
      </c>
    </row>
    <row r="81" spans="1:2" x14ac:dyDescent="0.25">
      <c r="A81" t="s">
        <v>362</v>
      </c>
      <c r="B81" t="s">
        <v>363</v>
      </c>
    </row>
    <row r="82" spans="1:2" x14ac:dyDescent="0.25">
      <c r="A82" t="s">
        <v>367</v>
      </c>
      <c r="B82" t="s">
        <v>368</v>
      </c>
    </row>
    <row r="83" spans="1:2" x14ac:dyDescent="0.25">
      <c r="A83" t="s">
        <v>372</v>
      </c>
      <c r="B83" t="s">
        <v>373</v>
      </c>
    </row>
    <row r="84" spans="1:2" x14ac:dyDescent="0.25">
      <c r="A84" t="s">
        <v>377</v>
      </c>
      <c r="B84" t="s">
        <v>378</v>
      </c>
    </row>
    <row r="85" spans="1:2" x14ac:dyDescent="0.25">
      <c r="A85" t="s">
        <v>382</v>
      </c>
      <c r="B85" t="s">
        <v>383</v>
      </c>
    </row>
    <row r="86" spans="1:2" x14ac:dyDescent="0.25">
      <c r="A86" t="s">
        <v>387</v>
      </c>
      <c r="B86" t="s">
        <v>388</v>
      </c>
    </row>
    <row r="87" spans="1:2" x14ac:dyDescent="0.25">
      <c r="A87" t="s">
        <v>390</v>
      </c>
      <c r="B87" t="s">
        <v>391</v>
      </c>
    </row>
    <row r="88" spans="1:2" x14ac:dyDescent="0.25">
      <c r="A88" t="s">
        <v>395</v>
      </c>
      <c r="B88" t="s">
        <v>396</v>
      </c>
    </row>
    <row r="89" spans="1:2" x14ac:dyDescent="0.25">
      <c r="A89" t="s">
        <v>398</v>
      </c>
      <c r="B89" t="s">
        <v>399</v>
      </c>
    </row>
    <row r="90" spans="1:2" x14ac:dyDescent="0.25">
      <c r="A90" t="s">
        <v>403</v>
      </c>
      <c r="B90" t="s">
        <v>404</v>
      </c>
    </row>
    <row r="91" spans="1:2" x14ac:dyDescent="0.25">
      <c r="A91" t="s">
        <v>406</v>
      </c>
      <c r="B91" t="s">
        <v>407</v>
      </c>
    </row>
    <row r="92" spans="1:2" x14ac:dyDescent="0.25">
      <c r="A92" t="s">
        <v>411</v>
      </c>
      <c r="B92" t="s">
        <v>412</v>
      </c>
    </row>
    <row r="93" spans="1:2" x14ac:dyDescent="0.25">
      <c r="A93" t="s">
        <v>415</v>
      </c>
      <c r="B93" t="s">
        <v>416</v>
      </c>
    </row>
    <row r="94" spans="1:2" x14ac:dyDescent="0.25">
      <c r="A94" t="s">
        <v>418</v>
      </c>
      <c r="B94" t="s">
        <v>419</v>
      </c>
    </row>
    <row r="95" spans="1:2" x14ac:dyDescent="0.25">
      <c r="A95" t="s">
        <v>423</v>
      </c>
      <c r="B95" t="s">
        <v>424</v>
      </c>
    </row>
    <row r="96" spans="1:2" x14ac:dyDescent="0.25">
      <c r="A96" t="s">
        <v>426</v>
      </c>
      <c r="B96" t="s">
        <v>427</v>
      </c>
    </row>
    <row r="97" spans="1:2" x14ac:dyDescent="0.25">
      <c r="A97" t="s">
        <v>429</v>
      </c>
      <c r="B97" t="s">
        <v>430</v>
      </c>
    </row>
    <row r="98" spans="1:2" x14ac:dyDescent="0.25">
      <c r="A98" t="s">
        <v>434</v>
      </c>
      <c r="B98" t="s">
        <v>435</v>
      </c>
    </row>
    <row r="99" spans="1:2" x14ac:dyDescent="0.25">
      <c r="A99" t="s">
        <v>439</v>
      </c>
      <c r="B99" t="s">
        <v>440</v>
      </c>
    </row>
    <row r="100" spans="1:2" x14ac:dyDescent="0.25">
      <c r="A100" t="s">
        <v>442</v>
      </c>
      <c r="B100" t="s">
        <v>383</v>
      </c>
    </row>
    <row r="101" spans="1:2" x14ac:dyDescent="0.25">
      <c r="A101" t="s">
        <v>446</v>
      </c>
      <c r="B101" t="s">
        <v>447</v>
      </c>
    </row>
    <row r="102" spans="1:2" x14ac:dyDescent="0.25">
      <c r="A102" t="s">
        <v>449</v>
      </c>
      <c r="B102" t="s">
        <v>450</v>
      </c>
    </row>
    <row r="103" spans="1:2" x14ac:dyDescent="0.25">
      <c r="A103" t="s">
        <v>454</v>
      </c>
      <c r="B103" t="s">
        <v>455</v>
      </c>
    </row>
    <row r="104" spans="1:2" x14ac:dyDescent="0.25">
      <c r="A104" t="s">
        <v>457</v>
      </c>
      <c r="B104" t="s">
        <v>458</v>
      </c>
    </row>
    <row r="105" spans="1:2" x14ac:dyDescent="0.25">
      <c r="A105" t="s">
        <v>462</v>
      </c>
      <c r="B105" t="s">
        <v>463</v>
      </c>
    </row>
    <row r="106" spans="1:2" x14ac:dyDescent="0.25">
      <c r="A106" t="s">
        <v>467</v>
      </c>
      <c r="B106" t="s">
        <v>468</v>
      </c>
    </row>
    <row r="107" spans="1:2" x14ac:dyDescent="0.25">
      <c r="A107" t="s">
        <v>472</v>
      </c>
      <c r="B107" t="s">
        <v>473</v>
      </c>
    </row>
    <row r="108" spans="1:2" x14ac:dyDescent="0.25">
      <c r="A108" t="s">
        <v>477</v>
      </c>
      <c r="B108" t="s">
        <v>478</v>
      </c>
    </row>
    <row r="109" spans="1:2" x14ac:dyDescent="0.25">
      <c r="A109" t="s">
        <v>482</v>
      </c>
      <c r="B109" t="s">
        <v>483</v>
      </c>
    </row>
    <row r="110" spans="1:2" x14ac:dyDescent="0.25">
      <c r="A110" t="s">
        <v>485</v>
      </c>
      <c r="B110" t="s">
        <v>486</v>
      </c>
    </row>
    <row r="111" spans="1:2" x14ac:dyDescent="0.25">
      <c r="A111" t="s">
        <v>488</v>
      </c>
      <c r="B111" t="s">
        <v>489</v>
      </c>
    </row>
    <row r="112" spans="1:2" x14ac:dyDescent="0.25">
      <c r="A112" t="s">
        <v>492</v>
      </c>
      <c r="B112" t="s">
        <v>493</v>
      </c>
    </row>
    <row r="113" spans="1:2" x14ac:dyDescent="0.25">
      <c r="A113" t="s">
        <v>495</v>
      </c>
      <c r="B113" t="s">
        <v>496</v>
      </c>
    </row>
    <row r="114" spans="1:2" x14ac:dyDescent="0.25">
      <c r="A114" t="s">
        <v>498</v>
      </c>
      <c r="B114" t="s">
        <v>499</v>
      </c>
    </row>
    <row r="115" spans="1:2" x14ac:dyDescent="0.25">
      <c r="A115" t="s">
        <v>502</v>
      </c>
      <c r="B115" t="s">
        <v>503</v>
      </c>
    </row>
    <row r="116" spans="1:2" x14ac:dyDescent="0.25">
      <c r="A116" t="s">
        <v>507</v>
      </c>
      <c r="B116" t="s">
        <v>508</v>
      </c>
    </row>
    <row r="117" spans="1:2" x14ac:dyDescent="0.25">
      <c r="A117" t="s">
        <v>510</v>
      </c>
      <c r="B117" t="s">
        <v>511</v>
      </c>
    </row>
    <row r="118" spans="1:2" x14ac:dyDescent="0.25">
      <c r="A118" t="s">
        <v>513</v>
      </c>
      <c r="B118" t="s">
        <v>514</v>
      </c>
    </row>
    <row r="119" spans="1:2" x14ac:dyDescent="0.25">
      <c r="A119" t="s">
        <v>518</v>
      </c>
      <c r="B119" t="s">
        <v>519</v>
      </c>
    </row>
    <row r="120" spans="1:2" x14ac:dyDescent="0.25">
      <c r="A120" t="s">
        <v>521</v>
      </c>
      <c r="B120" t="s">
        <v>522</v>
      </c>
    </row>
    <row r="121" spans="1:2" x14ac:dyDescent="0.25">
      <c r="A121" t="s">
        <v>524</v>
      </c>
      <c r="B121" t="s">
        <v>525</v>
      </c>
    </row>
    <row r="122" spans="1:2" x14ac:dyDescent="0.25">
      <c r="A122" t="s">
        <v>529</v>
      </c>
      <c r="B122" t="s">
        <v>530</v>
      </c>
    </row>
    <row r="123" spans="1:2" x14ac:dyDescent="0.25">
      <c r="A123" t="s">
        <v>534</v>
      </c>
      <c r="B123" t="s">
        <v>535</v>
      </c>
    </row>
    <row r="124" spans="1:2" x14ac:dyDescent="0.25">
      <c r="A124" t="s">
        <v>537</v>
      </c>
      <c r="B124" t="s">
        <v>538</v>
      </c>
    </row>
    <row r="125" spans="1:2" x14ac:dyDescent="0.25">
      <c r="A125" t="s">
        <v>542</v>
      </c>
      <c r="B125" t="s">
        <v>543</v>
      </c>
    </row>
    <row r="126" spans="1:2" x14ac:dyDescent="0.25">
      <c r="A126" t="s">
        <v>545</v>
      </c>
      <c r="B126" t="s">
        <v>546</v>
      </c>
    </row>
    <row r="127" spans="1:2" x14ac:dyDescent="0.25">
      <c r="A127" t="s">
        <v>548</v>
      </c>
      <c r="B127" t="s">
        <v>549</v>
      </c>
    </row>
    <row r="128" spans="1:2" x14ac:dyDescent="0.25">
      <c r="A128" t="s">
        <v>551</v>
      </c>
      <c r="B128" t="s">
        <v>552</v>
      </c>
    </row>
    <row r="129" spans="1:2" x14ac:dyDescent="0.25">
      <c r="A129" t="s">
        <v>554</v>
      </c>
      <c r="B129" t="s">
        <v>555</v>
      </c>
    </row>
    <row r="130" spans="1:2" x14ac:dyDescent="0.25">
      <c r="A130" t="s">
        <v>557</v>
      </c>
      <c r="B130" t="s">
        <v>558</v>
      </c>
    </row>
    <row r="131" spans="1:2" x14ac:dyDescent="0.25">
      <c r="A131" t="s">
        <v>561</v>
      </c>
      <c r="B131" t="s">
        <v>562</v>
      </c>
    </row>
    <row r="132" spans="1:2" x14ac:dyDescent="0.25">
      <c r="A132" t="s">
        <v>564</v>
      </c>
      <c r="B132" t="s">
        <v>565</v>
      </c>
    </row>
    <row r="133" spans="1:2" x14ac:dyDescent="0.25">
      <c r="A133" t="s">
        <v>569</v>
      </c>
      <c r="B133" t="s">
        <v>570</v>
      </c>
    </row>
    <row r="134" spans="1:2" x14ac:dyDescent="0.25">
      <c r="A134" t="s">
        <v>574</v>
      </c>
      <c r="B134" t="s">
        <v>575</v>
      </c>
    </row>
    <row r="135" spans="1:2" x14ac:dyDescent="0.25">
      <c r="A135" t="s">
        <v>578</v>
      </c>
      <c r="B135" t="s">
        <v>579</v>
      </c>
    </row>
    <row r="136" spans="1:2" x14ac:dyDescent="0.25">
      <c r="A136" t="s">
        <v>581</v>
      </c>
      <c r="B136" t="s">
        <v>582</v>
      </c>
    </row>
    <row r="137" spans="1:2" x14ac:dyDescent="0.25">
      <c r="A137" t="s">
        <v>584</v>
      </c>
      <c r="B137" t="s">
        <v>585</v>
      </c>
    </row>
    <row r="138" spans="1:2" x14ac:dyDescent="0.25">
      <c r="A138" t="s">
        <v>587</v>
      </c>
      <c r="B138" t="s">
        <v>588</v>
      </c>
    </row>
    <row r="139" spans="1:2" x14ac:dyDescent="0.25">
      <c r="A139" t="s">
        <v>590</v>
      </c>
      <c r="B139" t="s">
        <v>591</v>
      </c>
    </row>
    <row r="140" spans="1:2" x14ac:dyDescent="0.25">
      <c r="A140" t="s">
        <v>593</v>
      </c>
      <c r="B140" t="s">
        <v>594</v>
      </c>
    </row>
    <row r="141" spans="1:2" x14ac:dyDescent="0.25">
      <c r="A141" t="s">
        <v>596</v>
      </c>
      <c r="B141" t="s">
        <v>597</v>
      </c>
    </row>
    <row r="142" spans="1:2" x14ac:dyDescent="0.25">
      <c r="A142" t="s">
        <v>599</v>
      </c>
      <c r="B142" t="s">
        <v>600</v>
      </c>
    </row>
    <row r="143" spans="1:2" x14ac:dyDescent="0.25">
      <c r="A143" t="s">
        <v>602</v>
      </c>
      <c r="B143" t="s">
        <v>603</v>
      </c>
    </row>
    <row r="144" spans="1:2" x14ac:dyDescent="0.25">
      <c r="A144" t="s">
        <v>605</v>
      </c>
      <c r="B144" t="s">
        <v>606</v>
      </c>
    </row>
    <row r="145" spans="1:2" x14ac:dyDescent="0.25">
      <c r="A145" t="s">
        <v>608</v>
      </c>
      <c r="B145" t="s">
        <v>609</v>
      </c>
    </row>
    <row r="146" spans="1:2" x14ac:dyDescent="0.25">
      <c r="A146" t="s">
        <v>613</v>
      </c>
      <c r="B146" t="s">
        <v>614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F2EBB-3569-4A83-97FB-E8DBF5ACB8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</vt:lpstr>
      <vt:lpstr>parcelas</vt:lpstr>
      <vt:lpstr>plano_interno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Lima dos Reis</dc:creator>
  <cp:lastModifiedBy>Albert Reis</cp:lastModifiedBy>
  <dcterms:created xsi:type="dcterms:W3CDTF">2026-02-03T15:48:29Z</dcterms:created>
  <dcterms:modified xsi:type="dcterms:W3CDTF">2026-03-20T03:55:44Z</dcterms:modified>
</cp:coreProperties>
</file>