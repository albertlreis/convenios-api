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3854e6706cf50b/Seplad/"/>
    </mc:Choice>
  </mc:AlternateContent>
  <xr:revisionPtr revIDLastSave="812" documentId="13_ncr:1_{710BD41D-3B0C-4FAE-AF9B-50BD65F737CA}" xr6:coauthVersionLast="47" xr6:coauthVersionMax="47" xr10:uidLastSave="{B57452E9-CF5C-40AB-B924-DCC06AB705D2}"/>
  <bookViews>
    <workbookView xWindow="-120" yWindow="-120" windowWidth="29040" windowHeight="15720" activeTab="1" xr2:uid="{00000000-000D-0000-FFFF-FFFF00000000}"/>
  </bookViews>
  <sheets>
    <sheet name="lista" sheetId="1" r:id="rId1"/>
    <sheet name="parcelas" sheetId="2" r:id="rId2"/>
    <sheet name="plano_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9" i="1" l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2" i="1"/>
  <c r="D28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2" i="1"/>
</calcChain>
</file>

<file path=xl/sharedStrings.xml><?xml version="1.0" encoding="utf-8"?>
<sst xmlns="http://schemas.openxmlformats.org/spreadsheetml/2006/main" count="4069" uniqueCount="1123">
  <si>
    <t>SEOP</t>
  </si>
  <si>
    <t>Abaetetuba</t>
  </si>
  <si>
    <t>090/2022</t>
  </si>
  <si>
    <t>247/2022</t>
  </si>
  <si>
    <t>Abel Figueiredo</t>
  </si>
  <si>
    <t>125/2022</t>
  </si>
  <si>
    <t>126/2022</t>
  </si>
  <si>
    <t>128/2022</t>
  </si>
  <si>
    <t>043/2024</t>
  </si>
  <si>
    <t>Acará</t>
  </si>
  <si>
    <t>006/2022</t>
  </si>
  <si>
    <t>089/2022</t>
  </si>
  <si>
    <t>048/2024</t>
  </si>
  <si>
    <t>Afuá</t>
  </si>
  <si>
    <t>049/2022</t>
  </si>
  <si>
    <t>Alenquer</t>
  </si>
  <si>
    <t>012/2022</t>
  </si>
  <si>
    <t>020/2022</t>
  </si>
  <si>
    <t>220/2022</t>
  </si>
  <si>
    <t>001/2025</t>
  </si>
  <si>
    <t>Almeirim</t>
  </si>
  <si>
    <t>213/2022</t>
  </si>
  <si>
    <t>001/2023</t>
  </si>
  <si>
    <t>003/2024</t>
  </si>
  <si>
    <t>Altamira</t>
  </si>
  <si>
    <t>202/2022</t>
  </si>
  <si>
    <t>038/2024</t>
  </si>
  <si>
    <t>Ananindeua</t>
  </si>
  <si>
    <t>060/2016</t>
  </si>
  <si>
    <t>016/2020</t>
  </si>
  <si>
    <t>005/2021</t>
  </si>
  <si>
    <t>006/2021</t>
  </si>
  <si>
    <t>174/2022</t>
  </si>
  <si>
    <t>260/2022</t>
  </si>
  <si>
    <t>Anapú</t>
  </si>
  <si>
    <t>038/2022</t>
  </si>
  <si>
    <t>160/2022</t>
  </si>
  <si>
    <t>177/2022</t>
  </si>
  <si>
    <t>279/2022</t>
  </si>
  <si>
    <t>282/2022</t>
  </si>
  <si>
    <t>033/2024</t>
  </si>
  <si>
    <t>Aurora Do Pará</t>
  </si>
  <si>
    <t>022/2022</t>
  </si>
  <si>
    <t>091/2022</t>
  </si>
  <si>
    <t>097/2022</t>
  </si>
  <si>
    <t>135/2022</t>
  </si>
  <si>
    <t>159/2022</t>
  </si>
  <si>
    <t>246/2022</t>
  </si>
  <si>
    <t>262/2022</t>
  </si>
  <si>
    <t>Aveiro</t>
  </si>
  <si>
    <t>037/2022</t>
  </si>
  <si>
    <t>155/2022</t>
  </si>
  <si>
    <t>009/2023</t>
  </si>
  <si>
    <t>Bagre</t>
  </si>
  <si>
    <t>035/2022</t>
  </si>
  <si>
    <t>168/2022</t>
  </si>
  <si>
    <t>009/2025</t>
  </si>
  <si>
    <t>Bannach</t>
  </si>
  <si>
    <t>165/2022</t>
  </si>
  <si>
    <t>166/2022</t>
  </si>
  <si>
    <t>217/2022</t>
  </si>
  <si>
    <t>219/2022</t>
  </si>
  <si>
    <t>Belém</t>
  </si>
  <si>
    <t>119/2018</t>
  </si>
  <si>
    <t>002/2022</t>
  </si>
  <si>
    <t>005/2022</t>
  </si>
  <si>
    <t>007/2022</t>
  </si>
  <si>
    <t>008/2022</t>
  </si>
  <si>
    <t>149/2022</t>
  </si>
  <si>
    <t>181/2022</t>
  </si>
  <si>
    <t>182/2022</t>
  </si>
  <si>
    <t>193/2022</t>
  </si>
  <si>
    <t>047/2022</t>
  </si>
  <si>
    <t>048/2022</t>
  </si>
  <si>
    <t>Belterra</t>
  </si>
  <si>
    <t>004/2024</t>
  </si>
  <si>
    <t>006/2024</t>
  </si>
  <si>
    <t>Benevides</t>
  </si>
  <si>
    <t>058/2022</t>
  </si>
  <si>
    <t>059/2022</t>
  </si>
  <si>
    <t>092/2022</t>
  </si>
  <si>
    <t>184/2022</t>
  </si>
  <si>
    <t>210/2022</t>
  </si>
  <si>
    <t>Bom Jesus Do Tocantins</t>
  </si>
  <si>
    <t>234/2022</t>
  </si>
  <si>
    <t>Bonito</t>
  </si>
  <si>
    <t>211/2022</t>
  </si>
  <si>
    <t>Bragança</t>
  </si>
  <si>
    <t>004/2021</t>
  </si>
  <si>
    <t>012/2021</t>
  </si>
  <si>
    <t>129/2022</t>
  </si>
  <si>
    <t>002/2025</t>
  </si>
  <si>
    <t>003/2025</t>
  </si>
  <si>
    <t>Brasil Novo</t>
  </si>
  <si>
    <t>044/2022</t>
  </si>
  <si>
    <t>236/2022</t>
  </si>
  <si>
    <t>Brejo Grande Do Araguaia</t>
  </si>
  <si>
    <t>183/2022</t>
  </si>
  <si>
    <t>Breu Branco</t>
  </si>
  <si>
    <t>046/2021</t>
  </si>
  <si>
    <t>107/2022</t>
  </si>
  <si>
    <t>242/2022</t>
  </si>
  <si>
    <t>274/2022</t>
  </si>
  <si>
    <t>030/2024</t>
  </si>
  <si>
    <t>031/2024</t>
  </si>
  <si>
    <t>050/2024</t>
  </si>
  <si>
    <t>011/2025</t>
  </si>
  <si>
    <t>Breves</t>
  </si>
  <si>
    <t>142/2022</t>
  </si>
  <si>
    <t>299/2022</t>
  </si>
  <si>
    <t>042/2024</t>
  </si>
  <si>
    <t>073/2024</t>
  </si>
  <si>
    <t>Bujaru</t>
  </si>
  <si>
    <t>292/2022</t>
  </si>
  <si>
    <t>Cachoeira Do Piriá</t>
  </si>
  <si>
    <t>214/2022</t>
  </si>
  <si>
    <t>053/2024</t>
  </si>
  <si>
    <t>Castanhal</t>
  </si>
  <si>
    <t>001/2018</t>
  </si>
  <si>
    <t>085/2018</t>
  </si>
  <si>
    <t>083/2022</t>
  </si>
  <si>
    <t>088/2022</t>
  </si>
  <si>
    <t>118/2022</t>
  </si>
  <si>
    <t>156/2022</t>
  </si>
  <si>
    <t>192/2022</t>
  </si>
  <si>
    <t>289/2022</t>
  </si>
  <si>
    <t>Chaves</t>
  </si>
  <si>
    <t>117/2022</t>
  </si>
  <si>
    <t>Colares</t>
  </si>
  <si>
    <t>054/2022</t>
  </si>
  <si>
    <t>232/2022</t>
  </si>
  <si>
    <t>302/2022</t>
  </si>
  <si>
    <t>Conceição Do Araguaia</t>
  </si>
  <si>
    <t>029/2021</t>
  </si>
  <si>
    <t>Cumaru Do Norte</t>
  </si>
  <si>
    <t>147/2022</t>
  </si>
  <si>
    <t>290/2022</t>
  </si>
  <si>
    <t>052/2024</t>
  </si>
  <si>
    <t>Curionópolis</t>
  </si>
  <si>
    <t>014/2023</t>
  </si>
  <si>
    <t>Curralinho</t>
  </si>
  <si>
    <t>051/2022</t>
  </si>
  <si>
    <t>063/2024</t>
  </si>
  <si>
    <t>007/2025</t>
  </si>
  <si>
    <t>Curuçá</t>
  </si>
  <si>
    <t>093/2022</t>
  </si>
  <si>
    <t>176/2022</t>
  </si>
  <si>
    <t>Dom Eliseu</t>
  </si>
  <si>
    <t>094/2022</t>
  </si>
  <si>
    <t>098/2022</t>
  </si>
  <si>
    <t>019/2024</t>
  </si>
  <si>
    <t>Floresta Do Araguaia</t>
  </si>
  <si>
    <t>134/2022</t>
  </si>
  <si>
    <t>195/2022</t>
  </si>
  <si>
    <t>008/2024</t>
  </si>
  <si>
    <t>Garrafão Do Norte</t>
  </si>
  <si>
    <t>032/2022</t>
  </si>
  <si>
    <t>227/2022</t>
  </si>
  <si>
    <t>Goianésia Do Pará</t>
  </si>
  <si>
    <t>036/2022</t>
  </si>
  <si>
    <t>136/2022</t>
  </si>
  <si>
    <t>163/2022</t>
  </si>
  <si>
    <t>233/2022</t>
  </si>
  <si>
    <t>272/2022</t>
  </si>
  <si>
    <t>021/2024</t>
  </si>
  <si>
    <t>061/2024</t>
  </si>
  <si>
    <t>Igarapé-Açú</t>
  </si>
  <si>
    <t>071/2022</t>
  </si>
  <si>
    <t>237/2022</t>
  </si>
  <si>
    <t>Igarapé-Miri</t>
  </si>
  <si>
    <t>015/2022</t>
  </si>
  <si>
    <t>151/2022</t>
  </si>
  <si>
    <t>152/2022</t>
  </si>
  <si>
    <t>153/2022</t>
  </si>
  <si>
    <t>Ipixuna Do Pará</t>
  </si>
  <si>
    <t>256/2022</t>
  </si>
  <si>
    <t>296/2022</t>
  </si>
  <si>
    <t>Itaituba</t>
  </si>
  <si>
    <t>008/2020</t>
  </si>
  <si>
    <t>249/2022</t>
  </si>
  <si>
    <t>Itupiranga</t>
  </si>
  <si>
    <t>245/2022</t>
  </si>
  <si>
    <t>055/2024</t>
  </si>
  <si>
    <t>Jacundá</t>
  </si>
  <si>
    <t>055/2022</t>
  </si>
  <si>
    <t>287/2022</t>
  </si>
  <si>
    <t>065/2024</t>
  </si>
  <si>
    <t>Juruti</t>
  </si>
  <si>
    <t>067/2016</t>
  </si>
  <si>
    <t>063/2022</t>
  </si>
  <si>
    <t>064/2022</t>
  </si>
  <si>
    <t>Mãe Do Rio</t>
  </si>
  <si>
    <t>085/2022</t>
  </si>
  <si>
    <t>293/2022</t>
  </si>
  <si>
    <t>Magalhães Barata</t>
  </si>
  <si>
    <t>104/2022</t>
  </si>
  <si>
    <t>161/2022</t>
  </si>
  <si>
    <t>244/2022</t>
  </si>
  <si>
    <t>Maracanã</t>
  </si>
  <si>
    <t>288/2022</t>
  </si>
  <si>
    <t>Marituba</t>
  </si>
  <si>
    <t>002/2023</t>
  </si>
  <si>
    <t>Medicilândia</t>
  </si>
  <si>
    <t>004/2022</t>
  </si>
  <si>
    <t>072/2022</t>
  </si>
  <si>
    <t>120/2022</t>
  </si>
  <si>
    <t>238/2022</t>
  </si>
  <si>
    <t>255/2022</t>
  </si>
  <si>
    <t>Mocajuba</t>
  </si>
  <si>
    <t>029/2023</t>
  </si>
  <si>
    <t>Mojuí Dos Campos</t>
  </si>
  <si>
    <t>084/2022</t>
  </si>
  <si>
    <t>198/2022</t>
  </si>
  <si>
    <t>259/2022</t>
  </si>
  <si>
    <t>294/2022</t>
  </si>
  <si>
    <t>Muaná</t>
  </si>
  <si>
    <t>251/2022</t>
  </si>
  <si>
    <t>Nova Esperança Do Piriá</t>
  </si>
  <si>
    <t>009/2022</t>
  </si>
  <si>
    <t>148/2022</t>
  </si>
  <si>
    <t>224/2022</t>
  </si>
  <si>
    <t>271/2022</t>
  </si>
  <si>
    <t>Nova Ipixuna</t>
  </si>
  <si>
    <t>049/2024</t>
  </si>
  <si>
    <t>Nova Timboteua</t>
  </si>
  <si>
    <t>037/2024</t>
  </si>
  <si>
    <t>Novo Progresso</t>
  </si>
  <si>
    <t>068/2018</t>
  </si>
  <si>
    <t>204/2022</t>
  </si>
  <si>
    <t>205/2022</t>
  </si>
  <si>
    <t>Novo Repartimento</t>
  </si>
  <si>
    <t>047/2024</t>
  </si>
  <si>
    <t>Óbidos</t>
  </si>
  <si>
    <t>042/2022</t>
  </si>
  <si>
    <t>119/2022</t>
  </si>
  <si>
    <t>139/2022</t>
  </si>
  <si>
    <t>303/2022</t>
  </si>
  <si>
    <t>016/2024</t>
  </si>
  <si>
    <t>024/2024</t>
  </si>
  <si>
    <t>Oeiras Do Pará</t>
  </si>
  <si>
    <t>298/2022</t>
  </si>
  <si>
    <t>064/2024</t>
  </si>
  <si>
    <t>070/2024</t>
  </si>
  <si>
    <t>004/2025</t>
  </si>
  <si>
    <t>Ourém</t>
  </si>
  <si>
    <t>111/2022</t>
  </si>
  <si>
    <t>171/2022</t>
  </si>
  <si>
    <t>173/2022</t>
  </si>
  <si>
    <t>Pacajá</t>
  </si>
  <si>
    <t>140/2022</t>
  </si>
  <si>
    <t>Paragominas</t>
  </si>
  <si>
    <t>089/2018</t>
  </si>
  <si>
    <t>169/2022</t>
  </si>
  <si>
    <t>278/2022</t>
  </si>
  <si>
    <t>Piçarra</t>
  </si>
  <si>
    <t>157/2022</t>
  </si>
  <si>
    <t>017/2024</t>
  </si>
  <si>
    <t>035/2024</t>
  </si>
  <si>
    <t>Placas</t>
  </si>
  <si>
    <t>016/2021</t>
  </si>
  <si>
    <t>112/2022</t>
  </si>
  <si>
    <t>277/2022</t>
  </si>
  <si>
    <t>297/2022</t>
  </si>
  <si>
    <t>018/2024</t>
  </si>
  <si>
    <t>025/2024</t>
  </si>
  <si>
    <t>Porto De Moz</t>
  </si>
  <si>
    <t>032/2021</t>
  </si>
  <si>
    <t>239/2022</t>
  </si>
  <si>
    <t>240/2022</t>
  </si>
  <si>
    <t>046/2024</t>
  </si>
  <si>
    <t>Primavera</t>
  </si>
  <si>
    <t>024/2022</t>
  </si>
  <si>
    <t>Quatipuru</t>
  </si>
  <si>
    <t>188/2022</t>
  </si>
  <si>
    <t>300/2022</t>
  </si>
  <si>
    <t>008/2025</t>
  </si>
  <si>
    <t>Redenção</t>
  </si>
  <si>
    <t>073/2022</t>
  </si>
  <si>
    <t>Rio Maria</t>
  </si>
  <si>
    <t>045/2022</t>
  </si>
  <si>
    <t>131/2022</t>
  </si>
  <si>
    <t>132/2022</t>
  </si>
  <si>
    <t>212/2022</t>
  </si>
  <si>
    <t>231/2022</t>
  </si>
  <si>
    <t>071/2024</t>
  </si>
  <si>
    <t>Rondon Do Pará</t>
  </si>
  <si>
    <t>124/2022</t>
  </si>
  <si>
    <t>Rurópolis</t>
  </si>
  <si>
    <t>222/2022</t>
  </si>
  <si>
    <t>Salvaterra</t>
  </si>
  <si>
    <t>002/2024</t>
  </si>
  <si>
    <t>Santa Bárbara Do Pará</t>
  </si>
  <si>
    <t>044/2024</t>
  </si>
  <si>
    <t>Santa Cruz Do Arari</t>
  </si>
  <si>
    <t>043/2022</t>
  </si>
  <si>
    <t>Santa Izabel Do Pará</t>
  </si>
  <si>
    <t>158/2022</t>
  </si>
  <si>
    <t>189/2022</t>
  </si>
  <si>
    <t>191/2022</t>
  </si>
  <si>
    <t>254/2022</t>
  </si>
  <si>
    <t>280/2022</t>
  </si>
  <si>
    <t>Santa Luzia Do Pará</t>
  </si>
  <si>
    <t>005/2025</t>
  </si>
  <si>
    <t>Santa Maria Do Pará</t>
  </si>
  <si>
    <t>266/2022</t>
  </si>
  <si>
    <t>Santana Do Araguaia</t>
  </si>
  <si>
    <t>137/2022</t>
  </si>
  <si>
    <t>250/2022</t>
  </si>
  <si>
    <t>Santarém</t>
  </si>
  <si>
    <t>002/2020</t>
  </si>
  <si>
    <t>010/2022</t>
  </si>
  <si>
    <t>095/2022</t>
  </si>
  <si>
    <t>099/2022</t>
  </si>
  <si>
    <t>162/2022</t>
  </si>
  <si>
    <t>175/2022</t>
  </si>
  <si>
    <t>179/2022</t>
  </si>
  <si>
    <t>199/2022</t>
  </si>
  <si>
    <t>201/2022</t>
  </si>
  <si>
    <t>241/2022</t>
  </si>
  <si>
    <t>270/2022</t>
  </si>
  <si>
    <t>069/2024</t>
  </si>
  <si>
    <t>São Caetano De Odivelas</t>
  </si>
  <si>
    <t>066/2022</t>
  </si>
  <si>
    <t>109/2022</t>
  </si>
  <si>
    <t>São Domingos Do Araguaia</t>
  </si>
  <si>
    <t>028/2024</t>
  </si>
  <si>
    <t>041/2024</t>
  </si>
  <si>
    <t>São Domingos Do Capim</t>
  </si>
  <si>
    <t>225/2022</t>
  </si>
  <si>
    <t>208/2022</t>
  </si>
  <si>
    <t>252/2022</t>
  </si>
  <si>
    <t>276/2022</t>
  </si>
  <si>
    <t>017/2023</t>
  </si>
  <si>
    <t>São Francisco Do Pará</t>
  </si>
  <si>
    <t>264/2022</t>
  </si>
  <si>
    <t>295/2022</t>
  </si>
  <si>
    <t>São Geraldo Do Araguaia</t>
  </si>
  <si>
    <t>265/2022</t>
  </si>
  <si>
    <t>São João Do Araguaia</t>
  </si>
  <si>
    <t>133/2022</t>
  </si>
  <si>
    <t>187/2022</t>
  </si>
  <si>
    <t>027/2024</t>
  </si>
  <si>
    <t>São Miguel Do Guamá</t>
  </si>
  <si>
    <t>060/2022</t>
  </si>
  <si>
    <t>086/2022</t>
  </si>
  <si>
    <t>121/2022</t>
  </si>
  <si>
    <t>209/2022</t>
  </si>
  <si>
    <t>257/2022</t>
  </si>
  <si>
    <t>013/2023</t>
  </si>
  <si>
    <t>São Sebastião Da Boa Vista</t>
  </si>
  <si>
    <t>113/2022</t>
  </si>
  <si>
    <t>Sapucaia</t>
  </si>
  <si>
    <t>144/2022</t>
  </si>
  <si>
    <t>263/2022</t>
  </si>
  <si>
    <t>Soure</t>
  </si>
  <si>
    <t>138/2022</t>
  </si>
  <si>
    <t>Terra Alta</t>
  </si>
  <si>
    <t>076/2022</t>
  </si>
  <si>
    <t>215/2022</t>
  </si>
  <si>
    <t>248/2022</t>
  </si>
  <si>
    <t>074/2024</t>
  </si>
  <si>
    <t>Tracuateua</t>
  </si>
  <si>
    <t>185/2022</t>
  </si>
  <si>
    <t>283/2022</t>
  </si>
  <si>
    <t>Tucuruí</t>
  </si>
  <si>
    <t>031/2021</t>
  </si>
  <si>
    <t>061/2022</t>
  </si>
  <si>
    <t>051/2024</t>
  </si>
  <si>
    <t>060/2024</t>
  </si>
  <si>
    <t>Ulianópolis</t>
  </si>
  <si>
    <t>019/2022</t>
  </si>
  <si>
    <t>100/2022</t>
  </si>
  <si>
    <t>101/2022</t>
  </si>
  <si>
    <t>103/2022</t>
  </si>
  <si>
    <t>216/2022</t>
  </si>
  <si>
    <t>020/2024</t>
  </si>
  <si>
    <t>067/2024</t>
  </si>
  <si>
    <t>Uruará</t>
  </si>
  <si>
    <t>284/2022</t>
  </si>
  <si>
    <t>012/2023</t>
  </si>
  <si>
    <t>014/2024</t>
  </si>
  <si>
    <t>Viseu</t>
  </si>
  <si>
    <t>285/2022</t>
  </si>
  <si>
    <t>286/2022</t>
  </si>
  <si>
    <t>059/2024</t>
  </si>
  <si>
    <t>Vitória Do Xingu</t>
  </si>
  <si>
    <t>088/2018</t>
  </si>
  <si>
    <t>Xinguara</t>
  </si>
  <si>
    <t>218/2022</t>
  </si>
  <si>
    <t>022/2024</t>
  </si>
  <si>
    <t>PAGA</t>
  </si>
  <si>
    <t>ABERTA</t>
  </si>
  <si>
    <t>032/2024</t>
  </si>
  <si>
    <t>004/2026</t>
  </si>
  <si>
    <t>001/2026</t>
  </si>
  <si>
    <t>081/2022</t>
  </si>
  <si>
    <t>207/2022</t>
  </si>
  <si>
    <t>005/2023</t>
  </si>
  <si>
    <t>036/2024</t>
  </si>
  <si>
    <t>033/2021</t>
  </si>
  <si>
    <t>013/2021</t>
  </si>
  <si>
    <t>178/2022</t>
  </si>
  <si>
    <t>016/2022</t>
  </si>
  <si>
    <t>020/2021</t>
  </si>
  <si>
    <t>009/2021</t>
  </si>
  <si>
    <t>009/2024</t>
  </si>
  <si>
    <t>012/2024</t>
  </si>
  <si>
    <t>006/2025</t>
  </si>
  <si>
    <t>011/2023</t>
  </si>
  <si>
    <t>004/2023</t>
  </si>
  <si>
    <t>021/2022</t>
  </si>
  <si>
    <t>039/2024</t>
  </si>
  <si>
    <t>orgao</t>
  </si>
  <si>
    <t>municipio</t>
  </si>
  <si>
    <t>numero_convenio</t>
  </si>
  <si>
    <t>ano</t>
  </si>
  <si>
    <t>objeto</t>
  </si>
  <si>
    <t>data_fim</t>
  </si>
  <si>
    <t>valor_total</t>
  </si>
  <si>
    <t>valor_contrapartida</t>
  </si>
  <si>
    <t>valor_orgao</t>
  </si>
  <si>
    <t>numero_parcela</t>
  </si>
  <si>
    <t>valor_previsto</t>
  </si>
  <si>
    <t>situacao</t>
  </si>
  <si>
    <t>data_pagamento</t>
  </si>
  <si>
    <t>valor_pago</t>
  </si>
  <si>
    <t>Igarapé Miri</t>
  </si>
  <si>
    <t>Igarapé Açu</t>
  </si>
  <si>
    <t>Cachoeira do Arari</t>
  </si>
  <si>
    <t>Eldorado do Carajás</t>
  </si>
  <si>
    <t>São Félix do Xingu</t>
  </si>
  <si>
    <t>007/2024</t>
  </si>
  <si>
    <t>023/2022</t>
  </si>
  <si>
    <t>067/2022</t>
  </si>
  <si>
    <t>229/2022</t>
  </si>
  <si>
    <t>122/2022</t>
  </si>
  <si>
    <t>291/2022</t>
  </si>
  <si>
    <t>Capanema</t>
  </si>
  <si>
    <t>269/2022</t>
  </si>
  <si>
    <t>261/2022</t>
  </si>
  <si>
    <t>106/2022</t>
  </si>
  <si>
    <t>041/2022</t>
  </si>
  <si>
    <t>028/2022</t>
  </si>
  <si>
    <t>047/2021</t>
  </si>
  <si>
    <t>021/2021</t>
  </si>
  <si>
    <t>plano_interno</t>
  </si>
  <si>
    <t>22DEMGC0245</t>
  </si>
  <si>
    <t>22DEMGC0253</t>
  </si>
  <si>
    <t>22DEMGC0019</t>
  </si>
  <si>
    <t>22DEMGC0005</t>
  </si>
  <si>
    <t>21DEMPC0485</t>
  </si>
  <si>
    <t>22DEMGC0371</t>
  </si>
  <si>
    <t>22DEMPC0085</t>
  </si>
  <si>
    <t>22DEMGC0087</t>
  </si>
  <si>
    <t>23DEMPC0034</t>
  </si>
  <si>
    <t>22DEMGC0093</t>
  </si>
  <si>
    <t>21DEMGC0015</t>
  </si>
  <si>
    <t>21DEMGC0017</t>
  </si>
  <si>
    <t>22DEMGC0289</t>
  </si>
  <si>
    <t>24DEMPC0029</t>
  </si>
  <si>
    <t>24DEMPC0030</t>
  </si>
  <si>
    <t>24DEMPC0031</t>
  </si>
  <si>
    <t>22DEMGC0188</t>
  </si>
  <si>
    <t>22DEMPC0167</t>
  </si>
  <si>
    <t>22DEMGC0142</t>
  </si>
  <si>
    <t>21EMENC0341</t>
  </si>
  <si>
    <t>23CONVX01AT</t>
  </si>
  <si>
    <t>16EMEN00037</t>
  </si>
  <si>
    <t>20EMEN00110</t>
  </si>
  <si>
    <t>20EMEN00376</t>
  </si>
  <si>
    <t>21DEMG00061</t>
  </si>
  <si>
    <t>21EMEN00354</t>
  </si>
  <si>
    <t>21DEMPC0545</t>
  </si>
  <si>
    <t>21DEMPC0483</t>
  </si>
  <si>
    <t>21DEMGC0261</t>
  </si>
  <si>
    <t>21DEMGC0014</t>
  </si>
  <si>
    <t>22DEMGC0117</t>
  </si>
  <si>
    <t>22DEMGC0340</t>
  </si>
  <si>
    <t>22CONVX01AP</t>
  </si>
  <si>
    <t>22DEMGC0116</t>
  </si>
  <si>
    <t>23CONVX01AP</t>
  </si>
  <si>
    <t>21DEMGC0295</t>
  </si>
  <si>
    <t>21DEMGC0062</t>
  </si>
  <si>
    <t>22DEMPC0050</t>
  </si>
  <si>
    <t>22DEMPC0049</t>
  </si>
  <si>
    <t>21DEF333916</t>
  </si>
  <si>
    <t>22DEMPC0175</t>
  </si>
  <si>
    <t>22DEMPC0158</t>
  </si>
  <si>
    <t>21DEMGC0127</t>
  </si>
  <si>
    <t>22DEMGC0030</t>
  </si>
  <si>
    <t>23DEMGC0022</t>
  </si>
  <si>
    <t>22DEMGC0011</t>
  </si>
  <si>
    <t>22DEMGC0098</t>
  </si>
  <si>
    <t>23DFC402714</t>
  </si>
  <si>
    <t>21DEMGC0186</t>
  </si>
  <si>
    <t>017/2022</t>
  </si>
  <si>
    <t>22DEMGC0132</t>
  </si>
  <si>
    <t>21DEMP00122</t>
  </si>
  <si>
    <t>22DEMPC0031</t>
  </si>
  <si>
    <t>22DEMGC0152</t>
  </si>
  <si>
    <t>209PRVUACBE</t>
  </si>
  <si>
    <t>22DEMGC0172</t>
  </si>
  <si>
    <t>22DEMGC0174</t>
  </si>
  <si>
    <t>22DEMGC0170</t>
  </si>
  <si>
    <t>22DEMGC0101</t>
  </si>
  <si>
    <t>22DEMGC0150</t>
  </si>
  <si>
    <t>22DEMGC0173</t>
  </si>
  <si>
    <t>22DEMGC0171</t>
  </si>
  <si>
    <t>22DEMGC0179</t>
  </si>
  <si>
    <t>22CONVPRSBE</t>
  </si>
  <si>
    <t>22CONVPSBBE</t>
  </si>
  <si>
    <t>22DEMGC0125</t>
  </si>
  <si>
    <t>23DEMGC0025</t>
  </si>
  <si>
    <t>22DEMGC0047</t>
  </si>
  <si>
    <t>19DEMPC0609</t>
  </si>
  <si>
    <t>19EMENC0805</t>
  </si>
  <si>
    <t>20EMENC0565</t>
  </si>
  <si>
    <t>22DEMGC0048</t>
  </si>
  <si>
    <t>22DEMPC0149</t>
  </si>
  <si>
    <t>21DEMPC0328</t>
  </si>
  <si>
    <t>22DEMGC0216</t>
  </si>
  <si>
    <t>21DEMP00472</t>
  </si>
  <si>
    <t>21DEMGC0066</t>
  </si>
  <si>
    <t>21DEMGC0085</t>
  </si>
  <si>
    <t>23DFC333904</t>
  </si>
  <si>
    <t>23DFC333903</t>
  </si>
  <si>
    <t>21DEMGC0016</t>
  </si>
  <si>
    <t>22DEMGC0027</t>
  </si>
  <si>
    <t>22DEMGC0088</t>
  </si>
  <si>
    <t>20EMEN00627</t>
  </si>
  <si>
    <t>21DEMPC0313</t>
  </si>
  <si>
    <t>21DEMGC0225</t>
  </si>
  <si>
    <t>22DFC333933</t>
  </si>
  <si>
    <t>22DEMPC0047</t>
  </si>
  <si>
    <t>22DFC379613</t>
  </si>
  <si>
    <t>23DEMPC0079</t>
  </si>
  <si>
    <t>23DEMPC0033</t>
  </si>
  <si>
    <t>24DEMGC0047</t>
  </si>
  <si>
    <t>25DEMPC0033</t>
  </si>
  <si>
    <t>25DEMGC0060</t>
  </si>
  <si>
    <t>21DEMGC0169</t>
  </si>
  <si>
    <t>21DEMPC0284</t>
  </si>
  <si>
    <t>22DEMGC0004</t>
  </si>
  <si>
    <t>22DEMGC0272</t>
  </si>
  <si>
    <t>23DEMPC0077</t>
  </si>
  <si>
    <t>24DEMGC0072</t>
  </si>
  <si>
    <t>21DEMGC0148</t>
  </si>
  <si>
    <t>20DEF418203</t>
  </si>
  <si>
    <t>21DEMGC0277</t>
  </si>
  <si>
    <t>22DEMGC0186</t>
  </si>
  <si>
    <t>23DEMGC0001</t>
  </si>
  <si>
    <t>21DEMGC0083</t>
  </si>
  <si>
    <t>21DEMGC0084</t>
  </si>
  <si>
    <t>22DEMGC0282</t>
  </si>
  <si>
    <t>21DEF333903</t>
  </si>
  <si>
    <t>22DEMGC0237</t>
  </si>
  <si>
    <t>18DEMAN0006</t>
  </si>
  <si>
    <t>209PRVUACCL</t>
  </si>
  <si>
    <t>21DEF333908</t>
  </si>
  <si>
    <t>22DEMGC0059</t>
  </si>
  <si>
    <t>21DEF333912</t>
  </si>
  <si>
    <t>22DFC333931</t>
  </si>
  <si>
    <t>22DEMGC0167</t>
  </si>
  <si>
    <t>22DEMGC0266</t>
  </si>
  <si>
    <t>22DEMGC0021</t>
  </si>
  <si>
    <t>21DEMGC0312</t>
  </si>
  <si>
    <t>21DEMGC0227</t>
  </si>
  <si>
    <t>22DEMPC0098</t>
  </si>
  <si>
    <t>20EMEN00140</t>
  </si>
  <si>
    <t>22EMEN00370</t>
  </si>
  <si>
    <t>23DEMGC0097</t>
  </si>
  <si>
    <t>22DEMGC0031</t>
  </si>
  <si>
    <t>22DEMPC0113</t>
  </si>
  <si>
    <t>24DEMGC0025</t>
  </si>
  <si>
    <t>23DEMGC0061</t>
  </si>
  <si>
    <t>21DEMGC0173</t>
  </si>
  <si>
    <t>24DEMGC0042</t>
  </si>
  <si>
    <t>23DFC402703</t>
  </si>
  <si>
    <t>21DEF333928</t>
  </si>
  <si>
    <t>21DEMGC0313</t>
  </si>
  <si>
    <t>22DEMGC0084</t>
  </si>
  <si>
    <t>22DEMGC0039</t>
  </si>
  <si>
    <t>23DFC402711</t>
  </si>
  <si>
    <t>19DEMP00520</t>
  </si>
  <si>
    <t>20EMEN00470</t>
  </si>
  <si>
    <t>20EMEN00409</t>
  </si>
  <si>
    <t>22EMENC0010</t>
  </si>
  <si>
    <t>21DFC394701</t>
  </si>
  <si>
    <t>23DFC215201</t>
  </si>
  <si>
    <t>22DEMPC0012</t>
  </si>
  <si>
    <t>22DEMGC0228</t>
  </si>
  <si>
    <t>22DEMPC0132</t>
  </si>
  <si>
    <t>21DEMGC0184</t>
  </si>
  <si>
    <t>21DEMGC0190</t>
  </si>
  <si>
    <t>22DEMPC0019</t>
  </si>
  <si>
    <t>22DEMGC0204</t>
  </si>
  <si>
    <t>22DEMPC0099</t>
  </si>
  <si>
    <t>24DEMGC0048</t>
  </si>
  <si>
    <t>22DEMGC0012</t>
  </si>
  <si>
    <t>21DEF333917</t>
  </si>
  <si>
    <t>22DEMGC0205</t>
  </si>
  <si>
    <t>22DEMGC0038</t>
  </si>
  <si>
    <t>20DEF379681</t>
  </si>
  <si>
    <t>21DEMG00140</t>
  </si>
  <si>
    <t>22DEMGC0036</t>
  </si>
  <si>
    <t>22DEMGC0034</t>
  </si>
  <si>
    <t>21DEMGC0012</t>
  </si>
  <si>
    <t>21DEMGC0181</t>
  </si>
  <si>
    <t>22DEMGC0240</t>
  </si>
  <si>
    <t>22DEMGC0273</t>
  </si>
  <si>
    <t>20DEMAN0035</t>
  </si>
  <si>
    <t>22DEMGC0208</t>
  </si>
  <si>
    <t>22DEMGC0230</t>
  </si>
  <si>
    <t>24DEMGC0050</t>
  </si>
  <si>
    <t>21DEMG00153</t>
  </si>
  <si>
    <t>22DEMPC0054</t>
  </si>
  <si>
    <t>24DEMGC0045</t>
  </si>
  <si>
    <t>16EMEN00082</t>
  </si>
  <si>
    <t>22DEMGC0066</t>
  </si>
  <si>
    <t>22DEMGC0022</t>
  </si>
  <si>
    <t>22CONVRVUMR</t>
  </si>
  <si>
    <t>22DEMGC0053</t>
  </si>
  <si>
    <t>22DEMPC0095</t>
  </si>
  <si>
    <t>21DEF333921</t>
  </si>
  <si>
    <t>22DEMGC0184</t>
  </si>
  <si>
    <t xml:space="preserve">22DEMGC0131 </t>
  </si>
  <si>
    <t>22DEMGC0211</t>
  </si>
  <si>
    <t>22DEMGC0267</t>
  </si>
  <si>
    <t>22DEMGC0372</t>
  </si>
  <si>
    <t>22DEMPC0101</t>
  </si>
  <si>
    <t>21DEMGC0149</t>
  </si>
  <si>
    <t>22DEMGC0287</t>
  </si>
  <si>
    <t>20DEMPC0201</t>
  </si>
  <si>
    <t>21DEMPC0311</t>
  </si>
  <si>
    <t>22DEMGC0028</t>
  </si>
  <si>
    <t>22DEMGC0206</t>
  </si>
  <si>
    <t>22DEMGC0241</t>
  </si>
  <si>
    <t>23CONVX02MD</t>
  </si>
  <si>
    <t>23CONVX03MD</t>
  </si>
  <si>
    <t>23CONVS01MJ</t>
  </si>
  <si>
    <t>21DEMPC00391</t>
  </si>
  <si>
    <t>22DEMPC00073</t>
  </si>
  <si>
    <t>21DEMGC0134</t>
  </si>
  <si>
    <t>22DEMGC0242</t>
  </si>
  <si>
    <t>22DEMPC0082</t>
  </si>
  <si>
    <t>22DEMGC0210</t>
  </si>
  <si>
    <t>21DEF333922</t>
  </si>
  <si>
    <t>20DEMPC0015</t>
  </si>
  <si>
    <t>22DEMGC0328</t>
  </si>
  <si>
    <t>22DEMGC0198</t>
  </si>
  <si>
    <t>20DEMPC0009</t>
  </si>
  <si>
    <t>22DEMGC0252</t>
  </si>
  <si>
    <t>24DEMGC0046</t>
  </si>
  <si>
    <t>22DEMPC0081</t>
  </si>
  <si>
    <t>24DEMGC0008</t>
  </si>
  <si>
    <t>209PRVUACNG</t>
  </si>
  <si>
    <t>22DEMGC0207</t>
  </si>
  <si>
    <t>22DEMGC0217</t>
  </si>
  <si>
    <t>24DEMGC0049</t>
  </si>
  <si>
    <t>21DEMGC0022</t>
  </si>
  <si>
    <t>22DEMGC0109</t>
  </si>
  <si>
    <t>22DEMGC0160</t>
  </si>
  <si>
    <t>22DEMGC0281</t>
  </si>
  <si>
    <t>23DFC402712</t>
  </si>
  <si>
    <t>23DFC402701</t>
  </si>
  <si>
    <t>22DEMGC0025</t>
  </si>
  <si>
    <t>23DEMPC0041</t>
  </si>
  <si>
    <t>22DFC333937</t>
  </si>
  <si>
    <t>24DEMPC0027</t>
  </si>
  <si>
    <t>22DEMGC0158</t>
  </si>
  <si>
    <t>22DEMGC0185</t>
  </si>
  <si>
    <t>22DEMPC0052</t>
  </si>
  <si>
    <t>23DEMPC0032</t>
  </si>
  <si>
    <t>22DEMGC0138</t>
  </si>
  <si>
    <t>23DFC402704</t>
  </si>
  <si>
    <t>23CONVX01PJ</t>
  </si>
  <si>
    <t>209PRVUACPG</t>
  </si>
  <si>
    <t>21DEMG00247</t>
  </si>
  <si>
    <t>22DFC333939</t>
  </si>
  <si>
    <t>21DEMGC0165</t>
  </si>
  <si>
    <t>23DEMGC0099</t>
  </si>
  <si>
    <t>23DEMPC0061</t>
  </si>
  <si>
    <t>21CONVCQPPL</t>
  </si>
  <si>
    <t>21EMENC0301</t>
  </si>
  <si>
    <t>24CONVX01PL</t>
  </si>
  <si>
    <t>21DEMG00200</t>
  </si>
  <si>
    <t>22DEMGC0280</t>
  </si>
  <si>
    <t>22CONVS01PL</t>
  </si>
  <si>
    <t>21DFC226331</t>
  </si>
  <si>
    <t>203CONVX01PL</t>
  </si>
  <si>
    <t>23CONVX02PL</t>
  </si>
  <si>
    <t>21DEMGC0275</t>
  </si>
  <si>
    <t>22DEMGC0196</t>
  </si>
  <si>
    <t>22DEMGC0214</t>
  </si>
  <si>
    <t>24DEMGC0056</t>
  </si>
  <si>
    <t>21DEMGC0063</t>
  </si>
  <si>
    <t>22DEMGC0166</t>
  </si>
  <si>
    <t>22DEMPC0024</t>
  </si>
  <si>
    <t>24DEMGC0037</t>
  </si>
  <si>
    <t>22DEMGC0197</t>
  </si>
  <si>
    <t>21DEMP00270</t>
  </si>
  <si>
    <t>21DEMGC0326</t>
  </si>
  <si>
    <t>22DEMPC0020</t>
  </si>
  <si>
    <t>22DFC215224</t>
  </si>
  <si>
    <t>22DEMGC0151</t>
  </si>
  <si>
    <t>22DEMPC0155</t>
  </si>
  <si>
    <t>22DEMPC0134</t>
  </si>
  <si>
    <t>23DEMPC0027</t>
  </si>
  <si>
    <t>22DEMGC0134</t>
  </si>
  <si>
    <t>22DEMGC0257</t>
  </si>
  <si>
    <t>22DEMGC0032</t>
  </si>
  <si>
    <t>22DFC402713</t>
  </si>
  <si>
    <t>24DEMGC0007</t>
  </si>
  <si>
    <t>21DEMGC0183</t>
  </si>
  <si>
    <t>22DEMGC0126</t>
  </si>
  <si>
    <t>22DEMGC0182</t>
  </si>
  <si>
    <t>22DEMGC0247</t>
  </si>
  <si>
    <t>22DEMGC0248</t>
  </si>
  <si>
    <t>22DEMGC0265</t>
  </si>
  <si>
    <t>25DEMGC0010</t>
  </si>
  <si>
    <t>22DEMPC0038</t>
  </si>
  <si>
    <t>22DEMGC0288</t>
  </si>
  <si>
    <t>22DEMPC0172</t>
  </si>
  <si>
    <t>209SCAEHMSR</t>
  </si>
  <si>
    <t>20CONVHMISR</t>
  </si>
  <si>
    <t>21DEMPC0603</t>
  </si>
  <si>
    <t>22DEMGC0108</t>
  </si>
  <si>
    <t>21DFC402728</t>
  </si>
  <si>
    <t xml:space="preserve">22DEMGC0092  </t>
  </si>
  <si>
    <t>22DEMGC0149</t>
  </si>
  <si>
    <t>21DEMPC0030</t>
  </si>
  <si>
    <t>22DEMPC0142</t>
  </si>
  <si>
    <t>22DEMGC0255</t>
  </si>
  <si>
    <t>22DEMGC0200</t>
  </si>
  <si>
    <t>22DEMGC0260</t>
  </si>
  <si>
    <t>22DEMPC0053</t>
  </si>
  <si>
    <t>22DEMPC0148</t>
  </si>
  <si>
    <t>22DEMGC0203</t>
  </si>
  <si>
    <t>22DEMGC0259</t>
  </si>
  <si>
    <t>24DEMGC0001</t>
  </si>
  <si>
    <t>22DEMGC0244</t>
  </si>
  <si>
    <t>21DEF333918</t>
  </si>
  <si>
    <t>23DEMPC0026</t>
  </si>
  <si>
    <t>22DEMGC0192</t>
  </si>
  <si>
    <t>22DEMGC0180</t>
  </si>
  <si>
    <t>22DEMGC0256</t>
  </si>
  <si>
    <t>22DEMGC0261</t>
  </si>
  <si>
    <t>23DEMGC0078</t>
  </si>
  <si>
    <t>24CONVS01SX</t>
  </si>
  <si>
    <t>23CONVS02SX</t>
  </si>
  <si>
    <t>040/2024</t>
  </si>
  <si>
    <t>22DEMGC0069</t>
  </si>
  <si>
    <t>22DEMGC0070</t>
  </si>
  <si>
    <t>22DEMPC0069</t>
  </si>
  <si>
    <t>22DFC333941</t>
  </si>
  <si>
    <t>22DFC333942</t>
  </si>
  <si>
    <t>23DFC333915</t>
  </si>
  <si>
    <t>22DEMGC0243</t>
  </si>
  <si>
    <t>22DEMGC0007</t>
  </si>
  <si>
    <t>22DEMPC0004</t>
  </si>
  <si>
    <t>22DEMGC0169</t>
  </si>
  <si>
    <t>21DEMGC0180</t>
  </si>
  <si>
    <t>22DFC333954</t>
  </si>
  <si>
    <t>23DEMGC0041</t>
  </si>
  <si>
    <t>22DEMGC0157</t>
  </si>
  <si>
    <t>22DEMPC0119</t>
  </si>
  <si>
    <t>22DEMGC0187</t>
  </si>
  <si>
    <t>22DEMGC0153</t>
  </si>
  <si>
    <t>21DEMGC0249</t>
  </si>
  <si>
    <t>22DEMPC0005</t>
  </si>
  <si>
    <t>22DEMPC0066</t>
  </si>
  <si>
    <t>24DEMPC0007</t>
  </si>
  <si>
    <t>22DEMPC0108</t>
  </si>
  <si>
    <t>22DEMGC0268</t>
  </si>
  <si>
    <t>206REURBCTI</t>
  </si>
  <si>
    <t>22DEMGC0054</t>
  </si>
  <si>
    <t>24DEMGC0044</t>
  </si>
  <si>
    <t>21DEMGC0387</t>
  </si>
  <si>
    <t>22DEMGC0106</t>
  </si>
  <si>
    <t>22DEMGC0105</t>
  </si>
  <si>
    <t>22DEMGC0103</t>
  </si>
  <si>
    <t>22DEMGC0246</t>
  </si>
  <si>
    <t>23DFC402709</t>
  </si>
  <si>
    <t>23DEMPC0016</t>
  </si>
  <si>
    <t>23EMENC0010</t>
  </si>
  <si>
    <t>22DEMGC0269</t>
  </si>
  <si>
    <t>22CONVX02UR</t>
  </si>
  <si>
    <t>23CONVX01UR</t>
  </si>
  <si>
    <t>22DEMGC0283</t>
  </si>
  <si>
    <t>22DEMGC0284</t>
  </si>
  <si>
    <t>23DEMGC0044</t>
  </si>
  <si>
    <t>23EMENC0145</t>
  </si>
  <si>
    <t>18EMEN00757</t>
  </si>
  <si>
    <t>21DEMGC0175</t>
  </si>
  <si>
    <t>22DEMPC0023</t>
  </si>
  <si>
    <t>23DEMGC0102</t>
  </si>
  <si>
    <t>REFORMA DE FEIRAS E REVITALIZAÇÃO DA ÁREA COMERCIAL POPULAR NO MUNICÍPIO DE ABAETETUBA, NESTE ESTADO</t>
  </si>
  <si>
    <t>RECAPEAMENT O DE VIAS, NO MUNICÍPIO DE ABAETETUBA, NESTE ESTADO</t>
  </si>
  <si>
    <t>REFORMA DA CÂMARA MUNICIPAL, NO MUNICÍPIO DE ABEL FIGUEIREDO</t>
  </si>
  <si>
    <t>URBANIZAÇÃO DAS LAGOAS DE ABEL FIGUEIREDO NESTE ESTADO</t>
  </si>
  <si>
    <t>REFORMA DO PRÉDIO DA PREFEITURA MUNICIPAL, NO MUNICÍPIO DE ABEL FIGUEIREDO</t>
  </si>
  <si>
    <t>CONSTRUÇÃO DA PRAÇA DA JUVENTUDE DE ABEL FIGUEIREDO, NO MUNICÍPIO DE ABEL FIGUEIREDO, NESTE ESTADO</t>
  </si>
  <si>
    <t>PAVIMENTAÇÃO DE VIAS EM BLOQUETES NA VILA SÃO LOURENÇO E VILA BOA ESPERANÇA, NO MUNICÍPIO DE ACARÁ, NESTE ESTADO</t>
  </si>
  <si>
    <t>CONSTRUÇÃO E URBANIZAÇÃO DE ORLA DA CIDADE, NO MUNICÍPIO DE ACARÁ</t>
  </si>
  <si>
    <t>PAVIMENTAÇÃO DE VIAS EM BLOQUETES NA VILA PARQUE VITÓRIA E VILA VERA CRUZ, NO MUNICÍPIO DO ACARÁ, NESTE ESTADO</t>
  </si>
  <si>
    <t>AMPLIAÇÃO DE REDE DE ABASTECIMENTO DE ÁGUA DO BAIRRO CAPIM MARINHO, MUNICÍPIO DE AFUÁ</t>
  </si>
  <si>
    <t>CONSTRUÇÃO DE COBERTURA DE QUADRA POLIESPORTIVA DO BAIRRO NOVA ESPERANÇA, NO MUNICÍPIO DE ALENQUER</t>
  </si>
  <si>
    <t>CONSTRUÇÃO DE COBERTURA DE QUADRA POLIESPORTIVA AUGUSTO CEZAR QUARESMA, NO MUNICÍPIO DE ALENQUER</t>
  </si>
  <si>
    <t>CONSTRUÇÃO DO CENTRO DE EVENTOS, NO MUNICÍPIO DE ALENQUER, NESTE ESTADO</t>
  </si>
  <si>
    <t>CONSTRUÇÃO DE PONTE DE CONCRETO SOBRE O IGARAPÉ DO MACACO PREGO, NA COMUNIDADE MACUPIXI, NO MUNICÍPIO  DE ALENQUER/PA</t>
  </si>
  <si>
    <t>REFORMA E ADEQUAÇÃO DO ANTIGO TERMINAL DE PASSAGEIRO PARA ESPAÇO GASTRONÔMICO E CENTRO CULTURAL, NO MUNICÍPIO DE ALMEIRIM, NESTE ESTADO</t>
  </si>
  <si>
    <t>PAVIMENTAÇÃO DE RUAS EM BLOKRETES, NO MUNICÍPIO DE ALMEIRIM, NESTE ESTADO</t>
  </si>
  <si>
    <t>REFORMA URBANÍSTICA DA PRAÇA CENTENÁRIO, NA CIDADE DE ALMEIRIM, NESTE ESTADO</t>
  </si>
  <si>
    <t>REFORMA DA ESCOLA DE DANÇA, NO MUNICÍPIO DE ALTAMIRA, NESTE ESTADO</t>
  </si>
  <si>
    <t>EXECUÇÃO DE SERVIÇOS DE PAVIMENTAÇÃO, COM FORNECIMENTO DE MATERIAL, EM 12000 M² DE VIAS URBANAS COM BLOCOS DE CONCRETO SEXTAVADO TIPO BLOKRET, INCLUSO GUIA,  SARJETA E PASSEIO</t>
  </si>
  <si>
    <t>DRENAGEM SUPERFICIAL- E PAVIMENTAÇÃO ASFÁLTICA.</t>
  </si>
  <si>
    <t>SERVIÇO DE DRENAGEM DA ÁGUAS PLUVIAIS E PAVIMENTAÇÃO ASFÁLTICA NA PASSAGEM SÃO MIGUEL, RUA SÉTIMA E RUA NOSSA SRA. DE FÁTIMA, DRENAGEM SUPERFICIAL E PROFUNDA E TERRAPLENAGEM NA RUA SEXTA, DRENAGEM SUPERFICIAL NA PASSAGEM DAS FLORES E DRENAGEM PROFUNDA NA RUA G - CONJUNTO JADERLÂNDIA - BAIRRO DO ATALAIA</t>
  </si>
  <si>
    <t>EXECUÇÃO DOS SERVIÇOS DE DRENAGEM DE ÁGUAS PLUVIAIS, TERRAPLENAGEM, PAVIMENTAÇÃO ASFÁLTICA E SINALIZAÇÃO VIÁRIA EM VIAS DO BAIRRO ÁGUAS BRANCAS, NO MUNICÍPIO DE ANANINDEUA/PA</t>
  </si>
  <si>
    <t>EXECUÇÃO DE SERVIÇO DE DRENAGEM DE ÁGUAS PLUVIAIS, TERRAPLENAGEM, PAVIMENTAÇÃO ASFÁLTICA, SINALIZAÇÃO VIÁRIA E OBRA DE ARTE, NO MUNICÍPIO DE ANANINDEUA/PA</t>
  </si>
  <si>
    <t>EXECUÇÃO DOS SERVIÇOS DE DRENAGEM SUPERFICIAL E PROFUNDA E PAVIMENTAÇÃO DAS RUAS BACIA LEITEIRA, UNIÃO E JARDINS DOS ESPORTES, NO MUNICÍPIO DE ANANINDEUA, NESTE ESTADO</t>
  </si>
  <si>
    <t>EXECUÇÃO DE SERVIÇOS DE PAVIMENTAÇÃO (RECAPEAMENTO) NA WE 66, WE 67 E PASSAGEM PROVIDENCIA, NO MUNICÍPIO DE ANANINDEUA, NESTE ESTADO</t>
  </si>
  <si>
    <t>REFORMA DA PRAÇA DO BAIRRO SÃO LUÍS COM EXECUÇÃO DE PLAY GROND, ACADEMIA AO LIVRE E EXECUÇÃO DE PRAÇA DE ALIMENTAÇÃO, NO MUNICÍPIO DE ANAPÚ.</t>
  </si>
  <si>
    <t>OBRA DA CONCLUSÃO DA SEDE DA ASSOCIAÇÃO DOS AGENTES COMUNITÁRIOS DE SAÚDE, MUNICÍPIO DE ANAPÚ, NESTE ESTADO</t>
  </si>
  <si>
    <t>ILUMINAÇÃO DO GRAMADO DO ESTÁDIO MUNICIPAL, NO MUNICÍPIO DE ANAPÚ, NESTE ESTADO</t>
  </si>
  <si>
    <t>PAVIMENTAÇÃO DE RUAS EM BLOKRET SEXTAVADOS, NO MUNICÍPIO DE ANAPÚ, NESTE ESTADO</t>
  </si>
  <si>
    <t>REVITALIZAÇÃO DOS CANTEIROS DA BR 230 (TRANSAMAZÔNICA), NO MUNICÍPIO DE ANAPÚ-PA, LOCALIZADA NA AVENIDA GETÚLIO VARGAS, CENTRO</t>
  </si>
  <si>
    <t>PAVIMENTAÇÃO DE RUAS EM BLOQUETES SEXTAVADOS, NO MUNICÍPIO DE ANAPÚ, NESTE ESTADO</t>
  </si>
  <si>
    <t xml:space="preserve">PAVIMENTAÇÃO E RECAPEAMENTO DE VIAS, NO MUNICÍPIO DE AURORA DO PARÁ </t>
  </si>
  <si>
    <t xml:space="preserve">CONSTRUÇÃO DE ORLA NO RIO CUITÉ, NO MUNICÍPIO DE AURORA DO PARÁ </t>
  </si>
  <si>
    <t>CONSTRUÇÃO DA PRAÇA NA COMUNIDADE BEIRA RIO, MUNICÍPIO DE AURORA DO PARÁ, NESTE ESTADO</t>
  </si>
  <si>
    <t>CONSTRUÇÃO DE PRAÇA NA COMUNIDADE JABUTI, MUNICÍPIO DE AURORA DO PARÁ, NESTE ESTADO</t>
  </si>
  <si>
    <t xml:space="preserve">REFORMA DA PRAÇA DA COMUNIDADE VILA NOVA, NO MUNICÍPIO DE AURORA DO PARÁ </t>
  </si>
  <si>
    <t>CONSTRUÇÃO DA PRAÇA NA COMUNIDADE DO IPITINGA NA ZONA RURAL, MUNICÍPIO DE AURORA DO PARÁ, NESTE ESTADO</t>
  </si>
  <si>
    <t>CONSTRUÇÃO DE 2 PÓRTICOS DE ENTRADA DA CIDADE, MUNICÍPIO DE AURORA DO PARÁ, NESTE ESTADO</t>
  </si>
  <si>
    <t>CONSTRUÇÃO DE TRAPICHE, NO MUNICÍPIO DE AVEIRO</t>
  </si>
  <si>
    <t>CONSTRUÇÃO DE COBERTURA DE QUADRA POLIESPORTIVA, NO MUNICÍPIO DE AVEIRO</t>
  </si>
  <si>
    <t>CONSTRUÇÃO DE 75 METROS DE MURO DE CONTENÇÃO</t>
  </si>
  <si>
    <t>IMPLANTAÇÃO DO SISTEMA DE ABASTECIMENTO DE  ÁGUA, NO MUNICÍPIO DE BAGRE</t>
  </si>
  <si>
    <t>PAVIMENTAÇÃO EM BLOKRETES DE VIAS URBANAS, NO MUNICÍPIO DE BAGRE, NESTE ESTADO</t>
  </si>
  <si>
    <t>CONSTRUÇÃO DO CENTRO ESPORTIVO MUNICIPAL, NO MUNICÍPIO DE BAGRE, NESTE ESTADO</t>
  </si>
  <si>
    <t xml:space="preserve">AQUISIÇÃO DE MATERIAL ELÉTRICO PARA A ILUMINAÇÃO DA SEDE DO MUNICÍPIO, NO MUNICÍPIO DE BANNACH </t>
  </si>
  <si>
    <t xml:space="preserve">URBANIZAÇÃO DE VIAS URBANAS NA SEDE DO MUNICÍPIO COM PAVIMENTAÇÃO DE VIAS E DRENAGEM, NO MUNICÍPIO DE BANNACH </t>
  </si>
  <si>
    <t>REFORMA DO HOSPITAL MUNICIPAL DE BANNACH, NESTE ESTADO</t>
  </si>
  <si>
    <t>CONSTRUÇÃO DO REFEITÓRIO NA VILA DA PISTA BRANCA, MUNICÍPIO DE BANNACH, NESTE ESTADO</t>
  </si>
  <si>
    <t>PAVIMENTAÇÃO EM BLOKRET SEXTAVADO EM RUAS E AVENIDAS DA SEDE DO MUNICÍPIO DE BANNACH</t>
  </si>
  <si>
    <t xml:space="preserve">TERRAPLENAGEM, PAVIMENTAÇÃO ASFÁLTICA E SINALIZAÇÃO DE VIAS URBANAS NO MUNICÍPIO DE BELÉM. </t>
  </si>
  <si>
    <t>REFORMA DO MERCADO DE ICOARACI, NO MUNICÍPIO DE BELÉM, NESTE ESTADO</t>
  </si>
  <si>
    <t>REFORMA E REVITALIZAÇÃO DO MERCADO E FEIRA DA PEDREIRA, NO MUNICÍPIO DE BELÉM</t>
  </si>
  <si>
    <t>REFORMA E REVITALIZAÇÃO DO MERCADO DA FARINHA, NO BAIRRO DO GUAMÁ, MUNICÍPIO DE BELÉM</t>
  </si>
  <si>
    <t>REURBANIZAÇÃO DA AVENIDA RÔMULO MAIORANA, MUNICÍPIO DE BELÉM</t>
  </si>
  <si>
    <t>REVITALIZAÇÃO  E RECAPEAMENTO DE VIAS EM DIVERSOS BAIRROS, MUNICÍPIO DE BELÉM</t>
  </si>
  <si>
    <t>REFORMA E REVITALIZAÇÃO DO MERCADO DA TERRA FIRME, MUNICÍPIO DE BELÉM</t>
  </si>
  <si>
    <t>REFORMA E REVITALIZAÇÃO DO COMPLEXO DA PEDREIRA, MUNICÍPIO DE BELÉM</t>
  </si>
  <si>
    <t>REFORMA E REVITALIZAÇÃO DO COMPLEXO DO GUAMÁ, NO MUNICÍPIO DE BELÉM</t>
  </si>
  <si>
    <t>DESENVOLVIMENTO DE ALTERNATIVAS TÉCNICAS PARA PLANEJAMENTO DO SETOR DE RESÍDUOS SÓLIDOS NO ESTADO DO PARÁ</t>
  </si>
  <si>
    <t>DESENVOLVIMENTO DE CENÁRIOS DE INVESTIMENTO E ATUALIZAÇÃO DO PLANO DE SANEAMENTO BÁSICO DO ESTADO DO PARÁ</t>
  </si>
  <si>
    <t>CONSTRUÇÃO DE COBERTURA DE QUADRA POLIESPORTIVA NA ESCOLA MUNICIPAL  DE ENSINO FUNDAMENTAL  ENY ATAÍDE DE SOUSA CASTRO, NO MUNICÍPIO DE BELTERRA, NESTE ESTADO</t>
  </si>
  <si>
    <t>CONSTRUÇÃO DE DOIS (02) MICROSSISTEMAS DE ABASTECIMENTO DE ÁGUA NAS LOCALIDADES DO KM 43 E KM 93, DA BR 163, NO MUNICÍPIO DE BELTERRA, NESTE ESTADO</t>
  </si>
  <si>
    <t>REFORMA E ADEQUAÇÃO DO MERCADO MUNICIPAL DE BENEVIDES, MUNICÍPIO DE BENEVIDES</t>
  </si>
  <si>
    <t>PAVIMENTAÇÃO ASFÁLTICA, MUNICÍPIO DE BENEVIDES</t>
  </si>
  <si>
    <t>REFORMA E ADEQUAÇÃO PARA FUNCIONAMENTO DO NOVO COMPLEXO COMERCIAL DE BENEVIDES, MUNICÍPIO DE BENEVIDES</t>
  </si>
  <si>
    <t>CONTRATAÇÃO DOS SERVIÇOS DE RECUPERAÇÃO DO PAVIMENTO ASFÁLTICO, NO MUNICÍPIO DE BENEVIDES, NESTE ESTADO</t>
  </si>
  <si>
    <t>REVITALIZAÇÃO DA PRAÇA MATRIZ DE BENFICA, NO MUNICÍPIO DE BENEVIDES, NESTE ESTADO</t>
  </si>
  <si>
    <t>CONSTRUÇÃO DE QUADRA SOCIETY, NO MUNICÍPIO DE BOM JESUS DO TOCANTINS, NESTE ESTADO</t>
  </si>
  <si>
    <t>REFORMA E AMPLIAÇÃO DO GINÁSIO MUNICIPAL MARCOS VINÍCIUS, NO MUNICÍPIO DE BONITO, NESTE ESTADO</t>
  </si>
  <si>
    <t>EXECUÇÃO DA URBANIZAÇÃO DA ORLA DO CAETÉ – TRECHO I, NO MUNICÍPIO DE BRAGANÇA</t>
  </si>
  <si>
    <t>URBANIZAÇÃO DA ORLA DA PRAIA DE AJURUTEUA – ETAPA 1, NO MUNICÍPIO DE BRAGANÇA</t>
  </si>
  <si>
    <t>REFORMA DO MERCADO DE PEIXE DO CARATATEUA,  NO MUNICÍPIO DE BRAGANÇA, NESTE ESTADO</t>
  </si>
  <si>
    <t>REFORMA E AMPLIAÇÃO DO BARRACÃO DA MARUJADA, NO MUNICÍPIO DE BRAGANÇA, NESTE ESTADO</t>
  </si>
  <si>
    <t>CONSTRUÇÃO DE CENTRO DE REFERÊNCIA DE ASSISTÊNCIA SOCIAL – CRAS</t>
  </si>
  <si>
    <t>CONSTRUÇÃO DE COBERTURA DA QUADRA POLIESPORTIVA SANTOS DUMONT NA VICINAL, NO MUNICÍPIO DE BRASIL NOVO</t>
  </si>
  <si>
    <t>CONSTRUÇÃO DE 02 (DOIS) MICROSSISTEMAS DE ABASTECIMENTO DE ÁGUA NAS LOCALIDADES: PRINCESA ISABEL E CIDADE ALTA, NO MUNICÍPIO DE BRASIL NOVO, NESTE ESTADO</t>
  </si>
  <si>
    <t>REVITALIZAÇÃO E PAISAGISMO E ILUMINAÇÃO DE CANTEIRO CENTRAL EM UMA EXTENSÃO DE 3KM DE VIA URBANA, NO MUNICÍPIO DE BREJO GRANDE DO ARAGUAIA, NESTE ESTADO</t>
  </si>
  <si>
    <t>CONSTRUÇÃO DA PRAÇA DE VILA NOSSA SENHORA DOS REMÉDIOS</t>
  </si>
  <si>
    <t>REFORMA DA PRAÇA DE SÃO CRISTÓVÃO, NO MUNICÍPIO DE BREU BRANCO</t>
  </si>
  <si>
    <t>CONSTRUÇÃO DO COMPLEXO POLIESPORTIVO, NO MUNICÍPIO DE BREU BRANCO</t>
  </si>
  <si>
    <t>REVITALIZAÇÃO DA PRAÇA DE SANTA CATARINA, NO MUNICÍPIO DE BREU BRANCO</t>
  </si>
  <si>
    <t>REVITALIZAÇÃO DA PRAÇA DO BAIRRO ISMAR VILELA I E II NO MUNICÍPIO DE BREU BRANCO, NESTE ESTADO</t>
  </si>
  <si>
    <t>REVITALIZAÇÃO DA PRAÇA DA VILA MOJU, NO MUNICÍPIO DE BREU BRANCO, NESTE ESTADO</t>
  </si>
  <si>
    <t>CONSTRUÇÃO DA PRAÇA DA JUVENTUDE, NO MUNICÍPIO DE BREU BRANCO, NESTE ESTADO.</t>
  </si>
  <si>
    <t>REFORMA DA PRAÇA DO NOVO HORIZONTE, NO MUNICÍPIO DE BREU BRANCO, NESTE ESTADO</t>
  </si>
  <si>
    <t>REESTRUTURAÇÃO DO ESTÁDIO 20 DE JUNHO – 2ª ETAPA, NO MUNICÍPIO DE BREU BRANCO</t>
  </si>
  <si>
    <t>RECAPEAMENTO DE VIAS PÚBLICAS, NO MUNICÍPIO DE BREU BRANCO, NESTE ESTADO</t>
  </si>
  <si>
    <t>CONSTRUÇÃO DA PRAÇA DA VILA BOA ESPERANÇA, NO MUNICÍPIO DE BREU BRANCO/PA</t>
  </si>
  <si>
    <t>REESTRUTURAÇÃO DO ESTÁDIO MUNICIPAL 20 DE JUNHO - 4ª ETAPA</t>
  </si>
  <si>
    <t>CONSTRUÇÃO DO PARQUE DE EXPOSIÇÃO DE BREU BRANCO/PA</t>
  </si>
  <si>
    <t>REFORMA DA ESCOLA MUNICIPAL DE ENSINO FUNDAMENTAL ESTEVÃO GOMES, NO MUNICÍPIO DE BREVES</t>
  </si>
  <si>
    <t>AQUISIÇÃO DE 05 (CINCO) CAMINHÕES BASCULANTES, 02 (DOIS) CAMINHÕES COLETORES COMPACTADOR E 01 (UMA) PÁ CARREGADEIRA, PARA O MUNICÍPIO DE BREVES.</t>
  </si>
  <si>
    <t>CONSTRUÇÃO DE UM PORTO FLUTUANTE COM RAMPA METÁLICA, NO MUNICÍPIO DE BREVES, NESTE ESTADO</t>
  </si>
  <si>
    <t>CONTRATAÇÃO DE EMPRESA ESPECIALIZADA PARA A ELABORAÇÃO DE PROJETOS EXECUTIVOS DE ARQUITETURA E COMPLEMENTARES DE ENGENHARIA E CONSTRUÇÃO DA URBANIZAÇÃO DA ORLA - ETAPA 2ª, NO MUNICÍPIO DE BREVES, NESTE ESTADO</t>
  </si>
  <si>
    <t>PAVIMENTAÇÃO DE 12 VIAS URBANAS EM BLOKRET, NO MUNICÍPIO DE  DE BREVES, NESTE ESTADO</t>
  </si>
  <si>
    <t>PRIMEIRA ETAPA DA REVITALIZAÇÃO DA ORLA, NO MUNICÍPIO DE BUJARU, NESTE ESTADO</t>
  </si>
  <si>
    <t>ORLA DO RIO ARARI (1ª ETAPA - MURO DE ARRIMO), NO MUNICÍPIO DE CACHOEIRA DO ARARI, NESTE ESTADO</t>
  </si>
  <si>
    <t>PAVIMENTAÇÃO ASFÁLTICA DE VIAS URBANAS NA SEDE DO MUNICÍPIO DE CACHOEIRA DO PIRIÁ, NESTE ESTADO</t>
  </si>
  <si>
    <t>CONSTRUÇÃO DE PÓRTICO COM URBANIZAÇÃO NA BR 316 KM 276 PA/MA, COMUNIDADE DO ALTO BONITO, NO MUNICÍPIO DE CACHOEIRA DO PIRIÁ, NESTE ESTADO.</t>
  </si>
  <si>
    <t>SERVIÇOS RECAPEAMENTO E TAPA BURACO COM ASFALTO DE VIAS URBANAS NA SEDE DO MUNICÍPIO DE CACHOEIRA DO PIRIÁ</t>
  </si>
  <si>
    <t>CONSTRUÇÃO DO CENTRO ARQUITETÔNICO SÃO FRANCISCO DE ASSIS, NA COMUNIDADE NOVA ASSIS, NO MUNICÍPIO DE CAPANEMA, NESTE ESTADO</t>
  </si>
  <si>
    <t>CONSTRUÇÃO DA FEIRA DO ARTESANATO, NO MUNICÍPIO DE CAPANEMA, NESTE ESTADO</t>
  </si>
  <si>
    <t>REFORMA DA CENTRAL DE ABASTECIMENTO, NO MUNICÍPIO DE CAPANEMA</t>
  </si>
  <si>
    <t>REFORMA DO PRÉDIO, INSTALAÇÕES DA GUARDA MUNICIPAL E SECRETARIA MUNICIPAL DE TRÂNSITO, NO MUNICÍPIO DE CAPANEMA</t>
  </si>
  <si>
    <t>REFORMA E REVITALIZAÇÃO DA FEIRA DA CEASA, NO MUNICÍPIO DE CASTANHAL</t>
  </si>
  <si>
    <t>PAVIMENTAÇÃO DE VIA URBANA COM CBUQ, RUA MARECHAL DEODORO, ENTRE AABB E PRESIDENTE VARGAS, NO MUNICÍPIO DE CASTANHAL</t>
  </si>
  <si>
    <t>REFORMA E AMPLIAÇÃO DA PRAÇA DE EVENTOS DO JADERLÂNDIA, NO MUNICÍPIO DE CASTANHAL</t>
  </si>
  <si>
    <t>EXECUÇÃO DE SERVIÇOS DE DRENAGEM E PAVIMENTAÇÃO ASFÁLTICA DE VIAS URBANAS, NO MUNICÍPIO DE CASTANHAL</t>
  </si>
  <si>
    <t>REFORMA E AMPLIAÇÃO DO MERCADO CENTRAL NO MUNICÍPIO DE CASTANHAL, NO MUNICÍPIO DE CASTANHAL</t>
  </si>
  <si>
    <t>REFORMA E AMPLIAÇÃO DA PRAÇA DO BAIRRO DO NOVO ESTRELA, NO MUNICÍPIO DE CASTANHAL</t>
  </si>
  <si>
    <t>EXECUÇÃO DE SERVIÇOS DE DRENAGEM E PAVIMENTAÇÃO ASFÁLTICA DE VIAS URBANAS, NO MUNICÍPIO DE CASTANHAL, NESTE ESTADO</t>
  </si>
  <si>
    <t>EXECUÇÃO DE SERVIÇOS DE DRENAGEM E PAVIMENTAÇÃO ASFÁLTICA DAS VIAS PASSAGEM DO ARAME E R. PADRE SALVADOR TRACAIOLI, HORTO FLORESTAL, NO MUNICÍPIO DE CASTANHAL, NESTE ESTADO</t>
  </si>
  <si>
    <t>PAVIMENTAÇÃO DE SEIS VIAS URBANAS EM BLOKRET, NO MUNICÍPIO DE CHAVES</t>
  </si>
  <si>
    <t>REFORMA E AMPLIAÇÃO DO PRÉDIO DA SECRETARIA MUNICIPAL DE EDUCAÇÃO DO MUNICÍPIO DE COLARES, NO MUNICÍPIO DE COLARES</t>
  </si>
  <si>
    <t>CONSTRUÇÃO DO SISTEMA DE ABASTECIMENTO DE ÁGUA NO BAIRRO JANGOLÂNDIA DO MUNICÍPIO DE COLARES, NESTE ESTADO</t>
  </si>
  <si>
    <t>CONSTRUÇÃO DE CALÇADA, SARJETA E MEIO FIO, NO MUNICÍPIO DE COLARES, NESTE ESTADO</t>
  </si>
  <si>
    <t xml:space="preserve">COBERTURA DA QUADRA DO PROJETO ORLA, BAIRRO CANUDINHO, NO MUNICÍPIO DE CONCEIÇÃO DO ARAGUAIA </t>
  </si>
  <si>
    <t>REVITALIZAÇÃO DA AV. JK, CENTRO COMERCIAL DA CIDADE, TROCA DO PAVIMENTO INTERTRAVADO SEXTAVADO DA AV JK E DE PARTE DA AV INTENDENTE NOBERTO LIMA; CONSTRUÇÃO DE ESTACIONAMENTO; REABERTURA DE VIA NA AVENIDA INTENDENTE, PLANTIO DE ÁRVORES ORNAMENTAIS E ACESSIBILIDADE, NO MUNICÍPIO DE CONCEIÇÃO DO ARAGUAIA, NESTE ESTADO.</t>
  </si>
  <si>
    <t>REVITALIZAÇÃO DA PRAÇA DA VILA BRADESCO, NO MUNICÍPIO DE CONCEIÇÃO DO ARAGUAIA, NESTE ESTADO</t>
  </si>
  <si>
    <t>REFORMA DO HOSPITAL MUNICIPAL JOÃO VIEIRA DA CUNHA, NO MUNICÍPIO DE CUMARU DO NORTE</t>
  </si>
  <si>
    <t>CONSTRUÇÃO DO MURO DO ESTÁDIO DE FUTEBOL, NESTE ESTADO</t>
  </si>
  <si>
    <t>EXECUÇÃO DE 11.637 M² DE PAVIMENTAÇÃO ASFÁLTICA EM CBUQ NO MUNICÍPIO DE CUMARU DO NORTE, NESTE ESTADO.</t>
  </si>
  <si>
    <t>EXECUÇÃO DE SERVIÇOS DE DRENAGEM E PAVIMENTAÇÃO ASFÁLTICA DE VIAS URBANAS, NO MUNICÍPIO DE CURIONÓPOLIS, NESTE ESTADO</t>
  </si>
  <si>
    <t>REVITALIZAÇÃO E AMPLIAÇÃO DO COMPLEXO DE ABASTECIMENTO MUNICIPAL DE CURRALINHO</t>
  </si>
  <si>
    <t>CONSTRUÇÃO DE PASSARELA DE CONCRETO ARMADO NA VILA PIRIÁ - TRECHOS 2 E 3</t>
  </si>
  <si>
    <t>CONSTRUÇÃO DA 1º ETAPA DO CENTRO ESPORTIVO MUNICIPAL DE CURRALINHO</t>
  </si>
  <si>
    <t>CONSTRUÇÃO DO PORTAL DA CIDADE, NO MUNICÍPIO DE CURUÇÁ</t>
  </si>
  <si>
    <t>REFORMA E AMPLIAÇÃO DA ESCOLA EMEF PROFª AUREA DE MORAES NA COMUNIDADE DO ARAQUAIM NO MUNICÍPIO DE CURUÇÁ-PA</t>
  </si>
  <si>
    <t>CONSTRUÇÃO DO TERMINAL RODOVIÁRIO MUNICIPAL, NO MUNICÍPIO DE DOM ELISEU</t>
  </si>
  <si>
    <t>RECUPERAÇÃO DE PAVIMENTAÇÃO ASFÁLTICA DE VIAS NO CENTRO URBANO DO MUNICÍPIO DE DOM ELISEU, NESTE ESTADO</t>
  </si>
  <si>
    <t>CONSTRUÇÃO DE QUADRA POLIESPORTIVA, NO MUNICÍPIO DE DOM ELISEU, NESTE ESTADO</t>
  </si>
  <si>
    <t>CONSTRUÇÃO DE BUEIROS NA ZONA RURAL, NO MUNICÍPIO DE ELDORADO DOS CARAJÁS</t>
  </si>
  <si>
    <t>PAVIMENTAÇÃO EM BLOKRET SEXTAVADO EM RUAS E AVENIDAS NAS VILAS: AMENTISTA E BOM JESUS, NA SEDE DO MUNICÍPIO DE FLORESTA DO ARAGUAIA, NO MUNICÍPIO DE FLORESTA DO ARAGUAIA</t>
  </si>
  <si>
    <t>PAVIMENTAÇÃO EM BLOKRET DE VIAS URBANAS, NO MUNICÍPIO DE FLORESTA DO ARAGUAIA</t>
  </si>
  <si>
    <t>PAVIMENTAÇÃO EM BLOQUETE SEXTAVADO NA AVENIDA DEZ, VILA BELA VISTA, NO MUNICÍPIO DE FLORESTA DO ARAGUAIA, NESTE ESTADO</t>
  </si>
  <si>
    <t>PAVIMENTAÇÃO EM BLOQUETE SEXTAVADO NAS VILAS: AMETISTA, BOM JESUS I E VILA JUASSAMA, NO MUNICÍPIO DE FLORESTA DO ARAGUAIA</t>
  </si>
  <si>
    <t>REFORMA DE UMA QUADRA DE AREIA NA VILA MARAPINIMA, NO MUNICÍPIO DE GARRAFÃO DO NORTE, NESTE ESTADO</t>
  </si>
  <si>
    <t>RECOMPOSIÇÃO ASFÁLTICA EM VIAS PUBLICAS, NO MUNICÍPIO DE GARRAFÃO DO NORTE, NESTE ESTADO</t>
  </si>
  <si>
    <t>CONSTRUÇÃO DE UMA QUADRA POLIESPORTIVA COBERTA NA VILA PORTO NOVO, NO MUNICÍPIO DE GOIANÉSIA DO PARÁ</t>
  </si>
  <si>
    <t>CONSTRUÇÃO DE UMA ROTATÓRIA NO CARTÃO POSTAL DE GOIANÉSIA DO PARÁ,  NO MUNICÍPIO DE GOIANÉSIA DO PARÁ</t>
  </si>
  <si>
    <t>REFORMA DA CÂMARA MUNICIPAL,  NO MUNICÍPIO DE GOIANÉSIA DO PARÁ, NESTE ESTADO</t>
  </si>
  <si>
    <t>PROLONGAMENTO DA AV. TANCREDO NEVES, NO MUNICÍPIO DE GOIANÉSIA DO PARÁ, NESTE ESTADO</t>
  </si>
  <si>
    <t>IMPLANTAÇÃO DE ESTACIONAMENTO NA AVENIDA TANCREDO NEVES COM ÁREA DE ALIMENTAÇÃO, NO MUNICÍPIO DE GOIANÉSIA DO PARÁ</t>
  </si>
  <si>
    <t>CONSTRUÇÃO DA PRAÇA DA JUVENTUDE NO BAIRRO ITAMARATY, NO MUNICÍPIO DE GOIANÉSIA DO PARÁ, NESTE ESTADO</t>
  </si>
  <si>
    <t>RECAPEAMENTO DE VIAS PÚBLICAS NO MUNICÍPIO DE GOIANÉSIA DO PARÁ, NESTE ESTADO</t>
  </si>
  <si>
    <t>REFORMA E AMPLIAÇÃO DA FEIRA DO PEQUENO AGRICULTOR - ANTÔNIO ALVES DE LIMA, NO MUNICÍPIO DE IGARAPÉ AÇU, NESTE ESTADO</t>
  </si>
  <si>
    <t>OBRA DE URBANIZAÇÃO DA ORLA EM PAVIMENTO ATERRADO, NO MUNICÍPIO DE IGARAPÉ MIRI</t>
  </si>
  <si>
    <t>REFORMA, AMPLIAÇÃO E REESTRUTURAÇÃO DO TERMINAL RODOVIÁRIO DE IGARAPÉ AÇU/ ESPAÇO PARA MICRO EMPREENDEDORES, NO MUNICÍPIO DE IGARAPÉ AÇU</t>
  </si>
  <si>
    <t>REVITALIZAÇÃO DO BALNEÁRIO PAU CHEIROSO, NO MUNICÍPIO DE IGARAPÉ AÇU, NESTE ESTADO</t>
  </si>
  <si>
    <t xml:space="preserve">CONSTRUÇÃO DE TERMINAL DE INTEGRAÇÃO DA RODOVIÁRIA, NO MUNICÍPIO DE IGARAPÉ MIRI </t>
  </si>
  <si>
    <t>CONSTRUÇÃO DE PASSARELA EM CONCRETO ARMADO, RUA ALCIDES SAMPAIO, RUA NOVA 01 E RUA NAZARÉ, NA VILA MAIUATÁ, NO MUNICÍPIO DE IGARAPÉ MIRI</t>
  </si>
  <si>
    <t>CONSTRUÇÃO DA UNIDADE DE SAÚDE DA FAMÍLIA - USF DO RIO SÃO LOURENÇO, ZONA RURAL DO MUNICÍPIO DE IGARAPÉ MIRI, NESTE ESTADO</t>
  </si>
  <si>
    <t>CONSTRUÇÃO DA QUADRA ESPORTIVA COBERTA NO BAIRRO BOA ESPERANÇA NO MUNICÍPIO DE IGARAPÉ MIRI, NESTE ESTADO</t>
  </si>
  <si>
    <t>CONSTRUÇÃO DA PRAÇA DO DISTRITO DE CANAÃ</t>
  </si>
  <si>
    <t xml:space="preserve">REFORMA DO GALPÃO DO PRODUTOR RURAL, NO MUNICÍPIO DE IPIXUNA DO PARÁ </t>
  </si>
  <si>
    <t xml:space="preserve">RECAPEAMENTO DE 5,305 KM DE VIAS URBANAS NO MUNICÍPIO DE IPIXUNA DO PARÁ  </t>
  </si>
  <si>
    <t>CONSTRUÇÃO DE PAVIMENTAÇÃO COM APLICAÇÃO DE CONCRETO BETUMINOSO USINADO A QUENTE CBUQ NA CAMADA DE ROLAMENTO COM ESPESSURA DE 5,0 CM E 2,0CM NA RODOVIA TRANSAMAZÔNICA BR-230 TRECHO URBANO DE ITAITUBA/PA COM EXTENSÃO DE 3000M CÚBICOS</t>
  </si>
  <si>
    <t>PAVIMENTAÇÃO DE VIAS URBANAS, NO MUNICÍPIO DE ITAITUBA, NESTE ESTADO</t>
  </si>
  <si>
    <t>REFORMA DO GINÁSIO POLIESPORTIVO, NO MUNICÍPIO DE ITUPIRANGA, NESTE ESTADO</t>
  </si>
  <si>
    <t>RECAPEAMENTO DE VIAS EM CBUQ EM VIAS, NO MUNICÍPIO DE ITUPIRANGA, NESTE ESTADO</t>
  </si>
  <si>
    <t>RECONSTRUÇÃO DO MERCADO MUNICIPAL, NO MUNICÍPIO DE JACUNDÁ</t>
  </si>
  <si>
    <t>PAVIMENTAÇÃO EM BLOQUETE NA RUA NOSSA SENHORA DA PENHA NO BAIRRO BELA VISTA, NO MUNICÍPIO DE JACUNDÁ, NESTE ESTADO</t>
  </si>
  <si>
    <t>RECAPEAMENTO DE DIVERSAS VIAS PÚBLICAS COM MATÉRIA PRIMA PARA ASFALTO CBUQ , NO MUNICÍPIO DE JACUNDÁ, NESTE ESTADO</t>
  </si>
  <si>
    <t>CONSTRUÇÃO DE UMA QUADRA POLIESPORTIVA</t>
  </si>
  <si>
    <t>CONSTRUÇÃO DO CENTRO DE ESPORTE E LAZER ISAIAS BATISTA FILHO, NO MUNICÍPIO JURUTI</t>
  </si>
  <si>
    <t>CONSTRUÇÃO DE 05 (CINCO) MICROSSISTEMAS, LOCALIZADOS NAS COMUNIDADES DA ALEMANHA, APARECIDA, CIPÓ´, MIRI CENTRAL E AREAL III, NO MUNICÍPIO JURUTI</t>
  </si>
  <si>
    <t>EXECUÇÃO DE SERVIÇOS DE DRENAGEM E PAVIMENTAÇÃO ASFÁLTICA DE VIAS URBANAS, MUNICÍPIO DE MÃE DO RIO</t>
  </si>
  <si>
    <t>REFORMA DO CRAS,  NO MUNICÍPIO DE MÃE DO RIO, NESTE ESTADO</t>
  </si>
  <si>
    <t xml:space="preserve">RECAPEAMENTO DE VIAS URBANAS NO MUNICÍPIO DE MÃE DO RIO </t>
  </si>
  <si>
    <t>REFORMA E REVITALIZAÇÃO DA PRAÇA MATRIZ, NO MUNICÍPIO DE MAGALHÃES BARATA</t>
  </si>
  <si>
    <t>CONSTRUÇÃO DE UMA FEIRA COBERTA, NO MUNICÍPIO DE MAGALHÃES BARATA</t>
  </si>
  <si>
    <t>CONSTRUÇÃO DO SISTEMA DE ABASTECIMENTO DE ÁGUA DA COMUNIDADE CAFEZAL, NO MUNICÍPIO DE MAGALHÃES BARATA, NESTE ESTADO</t>
  </si>
  <si>
    <t>CONSTRUÇÃO DO GINÁSIO POLIESPORTIVO, NO MUNICÍPIO MARACANÃ, NESTE ESTADO</t>
  </si>
  <si>
    <t>REFORMA E AMPLIAÇÃO DO COMPLEXO POLIESPORTIVO DE MARITUBA (1ª ETAPA), NO MUNICÍPIO DE MARITUBA, NESTE ESTADO</t>
  </si>
  <si>
    <t>TAPA BURACOS EM RUAS, TRAVESSAS E AVENIDAS, NO MUNICÍPIO DE MEDICILÂNDIA, NESTE ESTADO</t>
  </si>
  <si>
    <t>CONSTRUÇÃO DE UMA PRAÇA NO DISTRITO DA UNIÃO KM 120 FAIXA, NO MUNICÍPIO DE MEDICILÂNDIA, NESTE ESTADO</t>
  </si>
  <si>
    <t>CONSTRUÇÃO DE COBERTURA DE QUADRA DO KM95 NORTE, EM MEDICILÂNDIA</t>
  </si>
  <si>
    <t>EXECUÇÃO REFORMA E AMPLIAÇÃO DE QUADRA ESPORTIVA, NO MUNICÍPIO MEDICILÂNDIA</t>
  </si>
  <si>
    <t>CONSTRUÇÃO DE DOIS (02) MICROSSISTEMAS DE ABASTECIMENTO DE AGUA LOCALIZADOS NAS COMUNIDADES DO KM 115 SUL E COMUNIDADE DO KM 85 NORTE, NO MUNICÍPIO DE MEDICILÂNDIA</t>
  </si>
  <si>
    <t>CONSTRUÇÃO DE COBERTURA DA QUADRA DA AGROVILA JORGE BUENO, NO MUNICÍPIO DE MEDICILÂNDIA, NESTE ESTADO</t>
  </si>
  <si>
    <t>PAVIMENTAÇÃO DE ACESSO AO PARQUE DE EXPOSIÇÃO UBALDINO KRUGUER KM 90 NORTE NO MUNICÍPIO DE MEDICILÂNDIA, NESTE ESTADO</t>
  </si>
  <si>
    <t>CONCLUSÃO DA CONSTRUÇÃO DO COMPLEXO MIRANTE DO BOTO NO MUNICÍPIO DE MOCAJUBA</t>
  </si>
  <si>
    <t>CONSTRUÇÃO DE QUADRA POLIESPORTIVA  NA COMUNIDADE PIRANHA, NO MUNICÍPIO DE MOJUÍ DOS CAMPOS</t>
  </si>
  <si>
    <t>CONSTRUÇÃO DO GINÁSIO POLIESPORTIVO NO MUNICÍPIO DE MOJUÍ DOS CAMPOS</t>
  </si>
  <si>
    <t>CONSTRUÇÃO DE UMA PRAÇA, NO MUNICÍPIO DE MOJUI DOS CAMPOS - PA, NESTE ESTADO</t>
  </si>
  <si>
    <t>ILUMINAÇÃO DO CAMPO DE FUTEBOL, NO BAIRRO CIDADE ALTA I, NO MUNICÍPIO DE MOJUI DOS CAMPOS, NESTE ESTADO.</t>
  </si>
  <si>
    <t>CONSTRUÇÃO E RESTAURAÇÃO DA ORLA DO RIO MOCAJATUBA, NO MUNICÍPIO DE MUANÁ, NESTE ESTADO</t>
  </si>
  <si>
    <t>CONSTRUÇÃO DE PRAÇA MUNICIPAL NO BAIRRO CIDADE NOVA, NO MUNICÍPIO DE NOVA ESPERANÇA DO PIRIÁ.</t>
  </si>
  <si>
    <t>CONSTRUÇÃO DE UMA QUADRA DE AREIA E AMBIENTE PARA EVENTOS SOCIAIS DA COMUNIDADE "VILA NOVA", NESTE ESTADO</t>
  </si>
  <si>
    <t>CANALIZAÇÃO E CONSTRUÇÃO DA PRAÇA DO LAGO EM NOVA ESPERANÇA DO PIRIÁ, NESTE ESTADO</t>
  </si>
  <si>
    <t>CONSTRUÇÃO DE UMA PRAÇA NA VILA DO NOVO HORIZONTE, NESTE ESTADO</t>
  </si>
  <si>
    <t>RECAPEAMENTO DE VIAS PÚBLICAS, NO MUNICÍPIO DE NOVA IPIXUNA, NESTE ESTADO</t>
  </si>
  <si>
    <t>REFORMA DA PRAÇA VILA TIMBOTEUA, NO MUNICÍPIO DE NOVA TIMBOTEUA, NESTE ESTADO</t>
  </si>
  <si>
    <t>EXECUÇÃO DE DRENAGEM E PAVIMENTAÇÃO DE VIAS URBANAS, NOS BAIRROS BELA VISTA E CRISTO REI, NO MUNICÍPIO DE NOVO PROGRESSO</t>
  </si>
  <si>
    <t>CONSTRUÇÃO DE COBERTURA DE QUADRA POLIESPORTIVA DO BAIRRO SANTA JULIA, MUNICÍPIO DE NOVO PROGRESSO, NESTE ESTADO</t>
  </si>
  <si>
    <t>CONSTRUÇÃO DE COBERTURA DE QUADRA POLIESPORTIVA DA PRAÇA RUI PIRES DE LIMA, NO MUNICÍPIO DE NOVO PROGRESSO, NESTE ESTADO</t>
  </si>
  <si>
    <t>APLICAÇÃO DE RECAPEAMENTO, ATRAVÉS DE CBUQ, NO MUNICÍPIO DE NOVO REPARTIMENTO, NESTE ESTADO</t>
  </si>
  <si>
    <t>PAVIMENTAÇÃO DE VIAS EM CONCRETO NO DISTRITO FLEXAL, NO MUNICÍPIO DE ÓBIDOS</t>
  </si>
  <si>
    <t>PAVIMENTAÇÃO DE VIAS EM CONCRETO ZONA URBANA, MUNICÍPIO DE ÓBIDOS</t>
  </si>
  <si>
    <t>REQUALIFICAÇÃO DO MERCADO MUNICIPAL, NO MUNICÍPIO DE ÓBIDOS</t>
  </si>
  <si>
    <t>CONSTRUÇÃO DO GINÁSIO POLIESPORTIVO, NO MUNICÍPIO DE ÓBIDOS - 1ª ETAPA</t>
  </si>
  <si>
    <t xml:space="preserve">COBERTURA E RECUPERAÇÃO DA QUADRA POLIESPORTIVA DA ESCOLA MUNICIPAL INGLÊS DE SOUSA, NO MUNICÍPIO DE ÓBIDOS, NESTE ESTADO. </t>
  </si>
  <si>
    <t>PAVIMENTAÇÃO EM CONCRETO DE VIAS NAS COMUNIDADES CURUMU E IGARAPÉ AÇÚ, NO MUNICÍPIO DE ÓBIDOS, NESTE ESTADO</t>
  </si>
  <si>
    <t>CONSTRUÇÃO DO MURO DE ARRIMO, DRENAGEM, CALÇAMENTO, URBANIZAÇÃO E INSTALAÇÃO DE PRAÇA DO MUNICÍPIO DE OEIRAS DO PARÁ, NESTE ESTADO</t>
  </si>
  <si>
    <t>EXPANSÃO DA REDE DO SISTEMAS DE ABASTECIMENTO DE ÁGUA NO BAIRRO MARITUBA, NO MUNICÍPIO DE OEIRAS DO PARÁ, NESTE ESTADO</t>
  </si>
  <si>
    <t>CONSTRUÇÃO DA FEIRA DO AÇAÍ E FARINHA, NO MUNICÍPIO DE OEIRAS DO PARÁ, NESTE ESTADO</t>
  </si>
  <si>
    <t>CONSTRUÇÃO DE ESTRUTURA EM CONCRETO PARA CAIXA D'ÁGUA A SEREM CONSTRUÍDAS NO MUNICÍPIO DE OEIRAS DO PARÁ, NESTE ESTADO</t>
  </si>
  <si>
    <t>REVITALIZAÇÃO DA ORLA DO MUNICÍPIO DE OURÉM, NO MUNICÍPIO DE OURÉM</t>
  </si>
  <si>
    <t>IMPLANTAÇÃO DE MICROSSISTEMA DE ABASTECIMENTO DE AGUA, NO BAIRRO JACAL, NO MUNICÍPIO DE OURÉM</t>
  </si>
  <si>
    <t>CONSTRUÇÃO DE UMA ARENA ESPORTIVA, BAIRRO MACHADÃO, NO MUNICÍPIO DE OURÉM</t>
  </si>
  <si>
    <t>AMPLIAÇÃO E DRENAGEM DA PRAÇA ARRAIAL DO CAETÉ, NO MUNICÍPIO DE OURÉM</t>
  </si>
  <si>
    <t>EXECUÇÃO DE SERVIÇOS DE PAVIMENTAÇÃO DE 1.401,45M DE VIAS EM BLOQUETES, NO BAIRRO DO TOZETTI, NO MUNICÍPIO DE PACAJÁ, NESTE ESTADO.</t>
  </si>
  <si>
    <t>PAVIMENTAÇÃO E URBANIZAÇÃO DAS ÁREAS EM FRENTE A BR230, BAIRRO NOVO HORIZONTE, NO MUNICÍPIO DE PACAJÁ, NESTE ESTADO.</t>
  </si>
  <si>
    <t>PAVIMENTAÇÃO E DRENAGEM DE 5.909,95 DE RUAS NO MUNICÍPIO DE PARAGOMINAS</t>
  </si>
  <si>
    <t>OBRAS DE TERRAPLENAGEM, DRENAGEM, SINALIZAÇÃO VIÁRIA E PAVIMENTAÇÃO ASFÁLTICA EM CBUQ NA AVENIDA JÚLIA KUBICHEK, NO  MUNICÍPIO DE PARAGOMINAS</t>
  </si>
  <si>
    <t>CONSTRUÇÃO DA PRAÇA NO BAIRRO JUSCELINO KUBITSCHEK (JK), NESTE ESTADO</t>
  </si>
  <si>
    <t>CONSTRUÇÃO DE 01 DUAS CASAS DE FARINHA EM PIÇARRA, NO MUNICÍPIO DE PIÇARRA</t>
  </si>
  <si>
    <t>IMPLANTAÇÃO E AMPLIAÇÃO DOS SISTEMAS DE ABASTECIMENTO DE ÁGUA NAS VILAS BOA VISTA DO ARAGUAIA, OZIEL PEREIRA E ANAJÁ, NA ZONA RURAL DO MUNICÍPIO DE PIÇARRA, NESTE ESTADO</t>
  </si>
  <si>
    <t>ILUMINAÇÃO DO ESTÁDIO GABRIEL SOARES, NO MUNICÍPIO DE PIÇARRA, NESTE ESTADO</t>
  </si>
  <si>
    <t>CONSTRUÇÃO DE QUADRA POLIESPORTIVA COBERTA, NO MUNICÍPIO DE PLACAS</t>
  </si>
  <si>
    <t>CONSTRUÇÃO DA CASA DOS CONSELHOS, NO MUNICÍPIO DE PLACAS, NESTE ESTADO</t>
  </si>
  <si>
    <t>CONSTRUÇÃO DO COMPLEXO ADMINISTRATIVO DO MUNICÍPIO DE PLACAS, NESTE ESTADO</t>
  </si>
  <si>
    <t>CONSTRUÇÃO DE INSTALAÇÃO FÍSICAS PARA FEIRA DE EXPOSIÇÕES DO MUNICÍPIO DE PLACAS, NESTE ESTADO</t>
  </si>
  <si>
    <t xml:space="preserve">CONSTRUÇÃO DE UM CENTRO DE EVENTOS NA VILA APARECIDA, MUNICÍPIO DE PLACAS/PA </t>
  </si>
  <si>
    <t>PAVIMENTAÇÃO DE VIAS EM BLOQUETES NA VILA NOSSA SRA APARECIDA, NO MUNICÍPIO DE PLACAS, NESTE ESTADO.</t>
  </si>
  <si>
    <t>CONSTRUÇÃO DE CONCHA ACÚSTICA NO MUNICÍPIO DE PLACAS, NESTE ESTADO</t>
  </si>
  <si>
    <t>CONSTRUÇÃO DO CENTRO POLIESPORTIVO AYRTON SENNA, NO MUNICÍPIO DE PORTO DE MOZ</t>
  </si>
  <si>
    <t>PAVIMENTAÇÃO EM CONCRETO DE 05 RUAS E UMA TRAVESSA, NOS BAIRROS CARINI E BEATA, NO MUNICÍPIO DE PORTO DE MOZ</t>
  </si>
  <si>
    <t>CONSTRUÇÃO DO MURO DE ARRIMO DA ORLA DE PORTO DE MOZ, NO MUNICÍPIO DE PORTO DE MOZ, NESTE ESTADO</t>
  </si>
  <si>
    <t>CONSTRUÇÃO DA ORLA DE PORTO DE MOZ - ETAPA 2, NESTE ESTADO.</t>
  </si>
  <si>
    <t>REFORMA E AMPLIAÇÃO DA AVENIDA GENERAL MOURA CARVALHO, NO MUNICÍPIO DE PRIMAVERA</t>
  </si>
  <si>
    <t>CONSTRUÇÃO DO TRAPICHE DE BOA VISTA, NO MUNICÍPIO DE QUATIPURU</t>
  </si>
  <si>
    <t>CONSTRUÇÃO DE QUADRA POLIESPORTIVA SEM COBERTURA, DA VILA CUMARU, ZONA RURAL, NO MUNICÍPIO DE QUATIPURU, NESTE ESTADO</t>
  </si>
  <si>
    <t>CONSTRUÇÃO DO TRAPICHE SEDE, NO MUNICÍPIO DE QUATIPURU, NESTE ESTADO</t>
  </si>
  <si>
    <t>PAVIMENTAÇÃO ASFÁLTICA EM CUBQ, E=4 CM DA AV. MARECHAL RONDON COM DRENAGEM SUPERFICIAL, DRENAGEM PLUVIAL URBANA, DRENAGEM LONGITUDINAL PROFUNDA, CICLOFAIXA, CALÇADAS ACESSÍVEIS E SINALIZAÇÃO VIÁRIA DA AVENIDA MARECHAL RONDON NO MUNICÍPIO DE REDENÇÃO, NESTE ESTADO</t>
  </si>
  <si>
    <t>RECOMPOSIÇÃO DE PAVIMENTAÇÃO ASFÁLTICA, NO MUNICÍPIO DE RIO MARIA</t>
  </si>
  <si>
    <t>CONSTRUÇÃO DE PARQUE E ACADEMIA NO SETOR VILA VERDE NA SEDE DO MUNICÍPIO DE RIO MARIA, NESTE ESTADO</t>
  </si>
  <si>
    <t>URBANIZAÇÃO DA ORLA DO LAGO MUNICIPAL, LOCALIZADO NA VILA VERDE 4, NA SEDE DO MUNICÍPIO DE RIO MARIA, NESTE ESTADO</t>
  </si>
  <si>
    <t>PAVIMENTAÇÃO EM BLOKRET SEXTAVADO EM RUAS E AVENIDAS DA SEDE DO MUNICÍPIO, INCLUINDO SARJETA E MEIO FIO NAS RUAS 41, 45, 17, 19 E NA TRAVESSA CRUZ E SOUZA, NO MUNICÍPIO DE RIO MARIA, NESTE ESTADO</t>
  </si>
  <si>
    <t>PAVIMENTAÇÃO EM BLOKRET SEXTAVADO EM RUAS E AVENIDAS DA SEDE,  NO MUNICÍPIO DE RIO MARIA, NESTE ESTADO</t>
  </si>
  <si>
    <t>CONSTRUÇÃO DE UMA PISCINA AQUECIDA MEDINDO 8MX4M NO CRAS - CENTRO DE REFERÊNCIA DE ASSISTÊNCIA SOCIAL , NO MUNICÍPIO DE RIO MARIA , NESTE ESTADO.</t>
  </si>
  <si>
    <t>REVITALIZAÇÃO DO CEMITÉRIO DO SETOR VILA NOVA NA SEDE DO MUNICÍPIO DE RIO MARIA</t>
  </si>
  <si>
    <t>COMPLEMENTAÇÃO DO SISTEMA DE ABASTECIMENTO DE ÁGUA EXISTENTE NO SETOR PARQUE DA LIBERDADE,  NO MUNICÍPIO DE RIO MARIA, NESTE ESTADO</t>
  </si>
  <si>
    <t>REFORMA E REVITALIZAÇÃO DA PRAÇA DA PAZ, NO MUNICÍPIO DE RONDON DO PARÁ</t>
  </si>
  <si>
    <t>PAVIMENTAÇÃO DE VIAS URBANAS COM BLOCOS SEXTAVADOS DE CONCRETO TIPO BLOKRET, NO RONDON DO PARÁ, NESTE ESTADO, SEDO AS RUAS: CARLOS DOS ANJOS COM 420M, AYRTON SENNA 452M, FRANCISCO BASTOS 398M, RAUL SILVA 470M, SANTA LUCIA 140M, SÃO PAULO 74M, XINGU 118M, PETRÓPOLIS 73M, AMAZONAS 133M, PÃO DE AÇÚCAR 170M, 9 DE FEVEREIRO 145M, TOTALIZANDO 2.593M DE PAVIMENTAÇÃO</t>
  </si>
  <si>
    <t>CONSTRUÇÃO DO CENTRO DE CONVENÇÕES DO MUNICÍPIO DE RURÓPOLIS, NESTE ESTADO</t>
  </si>
  <si>
    <t>CONSTRUÇÃO, REVITALIZAÇÃO E AMPLIAÇÃO DA PRAÇA MAGALHÃES BARATA, NO MUNICÍPIO DE SALVATERRA, NESTE ESTADO</t>
  </si>
  <si>
    <t>AMPLIAÇÃO E REFORMA DO CENTRO CULTURAL ANTÔNIO BARATA, NO MUNICÍPIO DE SANTA BÁRBARA, NESTE ESTADO</t>
  </si>
  <si>
    <t>REFORMA DO GINÁSIO MUNICIPAL, NO MUNICÍPIO DE SANTA CRUZ DO ARARI</t>
  </si>
  <si>
    <t>RECAPEAMENTO E PAVIMENTAÇÃO DE VIAS URBANAS,  NO MUNICÍPIO DE SANTA IZABEL DO PARÁ</t>
  </si>
  <si>
    <t>REQUALIFICAÇÃO DE ÁREA PARA INSTALAÇÃO DE PARQUE URBANO FLORESTAL, NO MUNICÍPIO DE SANTA IZABEL DO PARÁ</t>
  </si>
  <si>
    <t>REFORMA E AMPLIAÇÃO DO CENTRO DE CONVIVÊNCIA DE IDOSOS, NO MUNICÍPIO DE SANTA IZABEL DO PARÁ, NESTE ESTADO</t>
  </si>
  <si>
    <t>REURBANIZAÇÃO DA ENTRADA DA CIDADE, NO MUNICÍPIO DE SANTA IZABEL DO PARÁ, NESTE ESTADO</t>
  </si>
  <si>
    <t>REFORMA DO COMPLEXO ESPORTIVO MANOEL SILVA, NO MUNICÍPIO DE SANTA IZABEL DO PARÁ, NESTE ESTADO</t>
  </si>
  <si>
    <t>PAVIMENTAÇÃO ASFÁLTICA DE VIAS URBANAS, NO MUNICÍPIO DE SANTA LUZIA DO PARÁ, NESTE ESTADO</t>
  </si>
  <si>
    <t>REVITALIZAÇÃO DA FACHADA COM O ESTACIONAMENTO E REFORMA DO TELHADO DA CÂMARA MUNICIPAL, NO MUNICÍPIO DE SANTA MARIA DO PARÁ, NESTE ESTADO</t>
  </si>
  <si>
    <t>CONSTRUÇÃO DO TERMINAL RODOVIÁRIO, NO MUNICÍPIO DE SANTANA DO ARAGUAIA</t>
  </si>
  <si>
    <t>PAVIMENTAÇÃO EM BLOQUETE SEXTAVADO NO BAIRRO SERINGAL, NO MUNICÍPIO DE SANTANA DO ARAGUAIA, NESTE ESTADO</t>
  </si>
  <si>
    <t>CONCLUSÃO DO HOSPITAL MATERNO INFANTIL DE SANTARÉM/PA</t>
  </si>
  <si>
    <t>MURO DE CONTENÇÃO POR RIP-RAP, NO DISTRITO DE CURAI, NO  MUNICÍPIO DE SANTARÉM/PA</t>
  </si>
  <si>
    <t>PAVIMENTAÇÃO E RECAPEAMENTO DE VIAS URBANAS, NO MUNICÍPIO DE SANTARÉM</t>
  </si>
  <si>
    <t>CONSTRUÇÃO DO MIRANTE DA SERRA DO SAUBAL, NO MUNICÍPIO DE SANTARÉM</t>
  </si>
  <si>
    <t>CONSTRUÇÃO DE CONTENÇÃO RIP-RAP, CANALETA, DISSIPADORES, CALÇADA, GRAMA E ESCADARIA, NA VILA DE BOIM, NA REGIÃO DO LAGO GRANDE, NO MUNICÍPIO DE SANTARÉM</t>
  </si>
  <si>
    <t>REVITALIZAÇÃO DA PRAÇA DO SANTÍSSIMO, NO MUNICÍPIO DE SANTARÉM</t>
  </si>
  <si>
    <t>CONSTRUÇÃO, DRENAGEM, CANALETAS, DISSIPADORES, PAVIMENTAÇÃO EM CONCRETO SIMPLES, CALÇADA E GRAMA E RECUPERAÇÃO DO CAIS EM ESCADARIA, NO MUNICÍPIO DE SANTARÉM</t>
  </si>
  <si>
    <t>PAVIMENTAÇÃO ASFÁLTICA DE VARIAS VIAS, NO MUNICÍPIO DE SANTARÉM, NESTE ESTADO</t>
  </si>
  <si>
    <t>PAVIMENTAÇÃO DA AVENIDA DOM FREDERICO COSTA, ENTRE RUA MARINGÁ E RUA C, NO MUNICÍPIO DE SANTARÉM, NESTE ESTADO</t>
  </si>
  <si>
    <t>IMPLANTAÇÃO, AMPLIAÇÃO E REFORMA EM SISTEMA DE ABASTECIMENTO DE ÁGUA EM COMUNIDADES RURAIS ( NAS COMUNIDADES PINDORAMA, PAISSANDU, FLAMENGUINHO, SÃO PEDRO, VILA NOVA, PAJURÁ, LÍRIOS DO VALE</t>
  </si>
  <si>
    <t>DUPLICAÇÃO DA AV. CUIABÁ, ENTRE AV, TANCREDO NEVES AO VIADUTO DA AV. ENG. FERNANDO GUILHON, NO MUNICÍPIO DE SANTARÉM</t>
  </si>
  <si>
    <t>CONSTRUÇÃO DO COMPLEXO DE ESPORTE E LAZER DA CIDADE, NO MUNICÍPIO DE SANTARÉM, NESTE ESTADO</t>
  </si>
  <si>
    <t>CONSTRUÇÃO DA PRAÇA DO CIPOAL, NO MUNICÍPIO DE SANTARÉM, NESTE ESTADO</t>
  </si>
  <si>
    <t>CONSTRUÇÃO DO COMPLEXO TURÍSTICO, NO MUNICÍPIO DE SÃO CAETANO DE ODIVELAS</t>
  </si>
  <si>
    <t>CONSTRUÇÃO DO ANFITEATRO NA PRAÇA JUIZ CLAUDIO HENRIQUE RENDEIRO, NO MUNICÍPIO DE SÃO CAETANO DE ODIVELAS, NESTE ESTADO</t>
  </si>
  <si>
    <t>CONSTRUÇÃO DA PRAÇA DA JUVENTUDE, NO MUNICÍPIO DE SÃO DOMINGOS DO ARAGUAIA, NESTE ESTADO</t>
  </si>
  <si>
    <t>REFORMA E REVITALIZAÇÃO DA PRAÇA DA BÍBLIA, NO MUNICÍPIO  DE SÃO DOMINGOS DO ARAGUAIA, NESTE ESTADO</t>
  </si>
  <si>
    <t xml:space="preserve">RECUPERAÇÃO DE UM TRECHO DA ORLA MUNICIPAL E CONSTRUÇÃO DO TRAPICHE MUNICIPAL DE SÃO DOMINGOS DO CAPIM </t>
  </si>
  <si>
    <t>EXECUÇÃO DE PAVIMENTAÇÃO BLOQUETES SEXTAVADO E=8CM NOS BAIRROS SÃO FRANCISCO, SOLAR DAS AGUAS E DISTRITO DA TABOCA - ZONA URBANA E RURAL DO MUNICÍPIO DE SÃO FÉLIX DO XINGU, TOTALIZANDO UMA ÁREA DE 59.485,09 M2 E EXTENSÃO DE 8.009,71M, NO MUNICÍPIO DE SÃO FÉLIX DO XINGU</t>
  </si>
  <si>
    <t>RECONSTRUÇÃO DA PRAÇA E QUADRA DO TRIÂNGULO</t>
  </si>
  <si>
    <t>RECONSTRUÇÃO DA PRAÇA PÚBLICA NO BAIRRO RODOVIÁRIO, NESTE ESTADO</t>
  </si>
  <si>
    <t>INFRA ESTRUTURA VIÁRIA E URBANA - EXECUÇÃO DE PAVIMENTAÇÃO ASFÁLTICA NA ZONA URBANA, DO MUNICÍPIO DE SÃO FÉLIX DO XINGU, NESTE ESTADO</t>
  </si>
  <si>
    <t>CONSTRUÇÃO DE QUADRA DE ESPORTES, NO DISTRITO DE TABOCA, NO MUNICÍPIO DE SÃO FÉLIX DO XINGU, NESTE ESTADO</t>
  </si>
  <si>
    <t>CONSTRUÇÃO DE QUADRA DE ESPORTES, NO DISTRITO DE NEREU, NO MUNICÍPIO DE SÃO FÉLIX DO XINGU, NESTE ESTADO.</t>
  </si>
  <si>
    <t>REFORMA DO PRÉDIO DA VIGILÂNCIA SANITÁRIA, NO MUNICÍPIO DE FRANCISCO DO PARÁ</t>
  </si>
  <si>
    <t>CONSTRUÇÃO DA UNIDADE DE SAÚDE DA MARIA NILDENER, NO MUNICÍPIO DE SÃO FRANCISCO DO PARÁ, NESTE ESTADO</t>
  </si>
  <si>
    <t>AQUISIÇÃO DE PISO SEXTAVADO HEXAGONAL (BLOQUETE) PARA PAVIMENTAÇÃO/CALÇAMENTO NA VILA NOVA, NO MUNICÍPIO DE SÃO GERALDO DO ARAGUAIA, NESTE ESTADO</t>
  </si>
  <si>
    <t>CONSTRUÇÃO DE UMA PRAÇA NA VILA APINÁGES, NO  MUNICÍPIO DE SÃO JOÃO DO ARAGUAIA</t>
  </si>
  <si>
    <t>CONSTRUÇÃO DE UMA PRAÇA NA VILA JOSÉ MARTINS FERREIRA, NO  MUNICÍPIO DE SÃO JOÃO DO ARAGUAIA, NESTE ESTADO</t>
  </si>
  <si>
    <t>IMPLANTAÇÃO DE PRAÇA PÚBLICA NA VILA PRIMEIRO DE MARÇO, NO MUNICÍPIO DE SÃO JOÃO DO ARAGUAIA, NESTE ESTADO</t>
  </si>
  <si>
    <t>CONSTRUÇÃO DO NOVO PRÉDIO DA CÂMARA MUNICIPAL, NO MUNICÍPIO DE SÃO MIGUEL DO GUAMÁ, NESTE ESTADO</t>
  </si>
  <si>
    <t>RECUPERAÇÃO ASFÁLTICA DE 25.249 M2 DE VIAS URBANAS E SINALIZAÇÃO (VERTICAL E HORIZONTAL) NOS BAIRROS PERPÉTUO SOCORRO E RAIMUNDO GUERREIRO, NO MUNICÍPIO DE SÃO MIGUEL DO GUAMÁ</t>
  </si>
  <si>
    <t>RECUPERAÇÃO ASFÁLTICA DE VIAS URBANAS NA SEDE DO MUNICÍPIO DE SÃO MIGUEL DO GUAMÁ, NO MUNICÍPIO DE SÃO MIGUEL DO GUAMÁ</t>
  </si>
  <si>
    <t>AMPLIAÇÃO DO SISTEMA DE ABASTECIMENTO DE ÁGUA VIAS URBANAS,  NO MUNICÍPIO DE SÃO MIGUEL DO GUAMÁ, NESTE ESTADO</t>
  </si>
  <si>
    <t>CONSTRUÇÃO DA PRAÇA DA VILA FRANÇA, NO MUNICÍPIO DE SÃO MIGUEL DO GUAMÁ, NESTE ESTADO</t>
  </si>
  <si>
    <t>PAVIMENTAÇÃO DE VIAS MARGINAIS BR 010/PA, NO MUNICÍPIO DE SÃO MIGUEL DO GUAMÁ/PA - ETAPA 1</t>
  </si>
  <si>
    <t>OBRA DE PAVIMENTAÇÃO ASFÁLTICA, DRENAGEM SUPERFICIAL E SINALIZAÇÃO DE VIAS NO BAIRRO PALMEIRA NO MUNICÍPIO DE SÃO MIGUEL DO GUAMÁ.</t>
  </si>
  <si>
    <t>REFORMA DO PRÉDIO DO GINÁSIO DE ESPORTE JOÃO PAULO II, NO MUNICÍPIO DE SÃO SEBASTIÃO DA BOA VISTA.</t>
  </si>
  <si>
    <t>EXECUÇÃO DE ILUMINAÇÃO PUBLICA NA BR - 155 DO MUNICÍPIO DE SAPUCAIA, NO MUNICÍPIO DE SAPUCAIA</t>
  </si>
  <si>
    <t>CONSTRUÇÃO DE UM PARQUE ECOLÓGICO DE SAPUCAIA, NO MUNICÍPIO DE SAPUCAIA, NESTE ESTADO</t>
  </si>
  <si>
    <t>SERVIÇO DE SISTEMA DE ABASTECIMENTO DE ÁGUA DA CAIXA D'ÁGUA DA 4ª RUA, NO MUNICÍPIO DE SOURE.</t>
  </si>
  <si>
    <t>REFORMA DA ESCOLA MUNICIPAL ROSILDA VIANA NA COMUNIDADE DE VISTA ALEGRE , NO MUNICÍPIO DE TERRA ALTA</t>
  </si>
  <si>
    <t>PAVIMENTAÇÃO ASFÁLTICA DA TRAV. APOLLO 11 - COMUNIDADE MAÚ, NO MUNICÍPIO DE TERRA ALTA, NESTE ESTADO</t>
  </si>
  <si>
    <t>CONSTRUÇÃO DE UMA PRAÇA DA COMUNIDADE DO KM 39, NO MUNICÍPIO DE TERRA ALTA, NESTE ESTADO</t>
  </si>
  <si>
    <t>CONSTRUÇÃO DA PRAÇA COMUNIDADE MOCAJUBINHA, NO MUNICÍPIO DE TERRA ALTA, NESTE  ESTADO</t>
  </si>
  <si>
    <t>EXECUÇÃO DE SERVIÇOS DE RECAPEAMENTO, NO MUNICÍPIO DE TRACUATEUA</t>
  </si>
  <si>
    <t>CONCLUSÃO DA PRAÇA DE EVENTOS, NO MUNICÍPIO DE TRACUATEUA/PA</t>
  </si>
  <si>
    <t>EXECUÇÃO DE SERVIÇOS DE REVITALIZAÇÃO E URBANIZAÇÃO DE 1.356,91M DO CAIS MUNICIPAL DA CIDADE DE TUCURUÍ/PA</t>
  </si>
  <si>
    <t>REFORMA, AMPLIAÇÃO E URBANIZAÇÃO DA FEIRA MUNICIPAL,  NO MUNICÍPIO DE TUCURUÍ</t>
  </si>
  <si>
    <t>CONSTRUÇÃO DA PRAÇA DA JUVENTUDE, NO MUNICÍPIO DE TUCURUÍ, NESTE ESTADO</t>
  </si>
  <si>
    <t>RECAPEAMENTO DE VIAS EM CBUQ, NA REGIÃO DE INTEGRAÇÃO DO LAGO TUCURUÍ, NO MUNICÍPIO DE TUCURUÍ, NESTE ESTADO</t>
  </si>
  <si>
    <t xml:space="preserve">EXECUÇÃO DE QUADRAS POLIESPORTIVA COBERTA DA ESCOLA ESTADUAL DE ENSINO MÉDIO IZABEL AMAZONAS, NO MUNICÍPIO DE ULIANÓPOLIS  </t>
  </si>
  <si>
    <t xml:space="preserve">REVITALIZAÇÃO DO BOSQUE UNILSON QUINAIP, NO MUNICÍPIO DE ULIANÓPOLIS </t>
  </si>
  <si>
    <t xml:space="preserve">REVITALIZAÇÃO DO CANTEIRO CENTRAL DA AVENIDA PRESIDENTE VARGAS, NO MUNICÍPIO DE ULIANÓPOLIS </t>
  </si>
  <si>
    <t xml:space="preserve">AMPLIAÇÃO DO SISTEMA DE ABASTECIMENTO DE ÁGUA DO BAIRRO BELA VISTA, NO MUNICÍPIO DE ULIANÓPOLIS </t>
  </si>
  <si>
    <t>CONSTRUÇÃO DO CENTRO ESPECIALIZADO EM REABILITAÇÃO (CER), NO MUNICÍPIO DE ULIANÓPOLIS, NESTE ESTADO</t>
  </si>
  <si>
    <t>CONSTRUÇÃO DE QUADRA POLIESPORTIVA, NO MUNICÍPIO DE ULIANÓPOLIS, NESTE ESTADO</t>
  </si>
  <si>
    <t>IMPLANTAÇÃO DE EQUIPAMENTOS URBANOS E INFRAESTRUTURA TURÍSTICA NO MUNICÍPIO DE ULIANÓPOLIS, NESTE ESTADO</t>
  </si>
  <si>
    <t>RECAPEAMENTO DE VIAS PÚBLICAS, NO MUNICÍPIO DE URUARÁ, NESTE ESTADO</t>
  </si>
  <si>
    <t>OBRA DE REURBANIZAÇÃO DA ENTRADA DO MUNICÍPIO DE URUARÁ/PA</t>
  </si>
  <si>
    <t>REURBANIZAÇÃO DA PRAÇA DO CORETO, NO MUNICÍPIO URUARÁ, NESTE ESTADO.</t>
  </si>
  <si>
    <t>PAVIMENTAÇÃO ASFÁLTICA DE 1,9KM NA COMUNIDADE LAGUINHA, NESTE ESTADO</t>
  </si>
  <si>
    <t>PAVIMENTAÇÃO ASFÁLTICA DE 3,3KM NA COMUNIDADE DE CENTRO ALEGRE E JUTAÍ, NO MUNICÍPIO DE VISEU, NESTE ESTADO</t>
  </si>
  <si>
    <t>CONSTRUÇÃO DE UM TRAPICHE EM CONCRETO NA LOCALIDADE  DO LIMONDEUA, NO MUNICÍPIO DE VISEU, NESTE ESTADO</t>
  </si>
  <si>
    <t>EXECUÇÃO DE DRENAGEM, PAVIMENTAÇÃO, CALÇAMENTO E SINALIZAÇÃO NO RESIDENCIAL GURUPI</t>
  </si>
  <si>
    <t>CONSTRUÇÃO DE 3KM DE CALÇADA E CICLOVIA NA RODOVIA PA-415</t>
  </si>
  <si>
    <t>CONSTRUÇÃO DE 13 (TREZE) PONTOS DE ÔNIBUS, NO MUNICÍPIO DE XINGUARA, NESTE ESTADO</t>
  </si>
  <si>
    <t>PAVIMENTAÇÃO DE 4,2 KM DE RUAS EM BLOQUETES COM DRENAGEM SUPERFICIAL NO SETOR CENTRO, MARAJOARA I E ITAMARATY</t>
  </si>
  <si>
    <t>REVITALIZAÇÃO DA FEIRA MUNICIPAL DE XINGUARA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</si>
</sst>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43" fontId="0" fillId="0" borderId="0" xfId="1" applyFont="1"/>
    <xf numFmtId="0" fontId="0" fillId="0" borderId="0" xfId="0" applyAlignment="1">
      <alignment vertical="center"/>
    </xf>
  </cellXfs>
  <cellStyles count="2">
    <cellStyle name="Normal" xfId="0" builtinId="0"/>
    <cellStyle name="Vírgula" xfId="1" builtinId="3"/>
  </cellStyles>
  <dxfs count="5">
    <dxf>
      <numFmt numFmtId="4" formatCode="#,##0.00"/>
    </dxf>
    <dxf>
      <numFmt numFmtId="19" formatCode="dd/mm/yyyy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BD465-71DF-4BBF-BA52-F26CF7B6ED4B}" name="Tabela1" displayName="Tabela1" ref="A1:I328" totalsRowShown="0">
  <autoFilter ref="A1:I328" xr:uid="{9B1BD465-71DF-4BBF-BA52-F26CF7B6ED4B}"/>
  <tableColumns count="9">
    <tableColumn id="1" xr3:uid="{C46E6B14-59AA-4305-8A85-990BC9864677}" name="orgao"/>
    <tableColumn id="2" xr3:uid="{0C0BE55B-7A5A-446E-957A-B6DECEC37C22}" name="municipio"/>
    <tableColumn id="3" xr3:uid="{F3767AC8-37B1-4B8A-8100-03B8AAED5012}" name="numero_convenio"/>
    <tableColumn id="4" xr3:uid="{15BA50CE-702C-4EA7-ADE4-D8350C6A3D67}" name="ano">
      <calculatedColumnFormula>RIGHT(lista!$C2,4)</calculatedColumnFormula>
    </tableColumn>
    <tableColumn id="11" xr3:uid="{D6D3A329-ED23-436F-AC55-2FDF0F8B76D1}" name="objeto"/>
    <tableColumn id="7" xr3:uid="{3AA85882-4F9F-4153-85C6-C53B8FBFC52E}" name="data_fim" dataDxfId="4"/>
    <tableColumn id="8" xr3:uid="{E88031DA-F381-4CA5-B120-30F69210AEE9}" name="valor_total" dataCellStyle="Vírgula"/>
    <tableColumn id="9" xr3:uid="{01CE72B5-F25F-4219-AEE7-FB2E50259909}" name="valor_contrapartida" dataCellStyle="Vírgula"/>
    <tableColumn id="10" xr3:uid="{F5A5EA53-4B11-4236-AA5D-A2D23E6F7486}" name="valor_orgao" dataCellStyle="Vírgul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1020" totalsRowShown="0">
  <autoFilter ref="A1:F1020" xr:uid="{00000000-0009-0000-0100-000002000000}"/>
  <tableColumns count="6">
    <tableColumn id="1" xr3:uid="{00000000-0010-0000-0100-000001000000}" name="numero_convenio"/>
    <tableColumn id="2" xr3:uid="{00000000-0010-0000-0100-000002000000}" name="numero_parcela"/>
    <tableColumn id="3" xr3:uid="{00000000-0010-0000-0100-000003000000}" name="valor_previsto" dataDxfId="3"/>
    <tableColumn id="6" xr3:uid="{00000000-0010-0000-0100-000006000000}" name="situacao" dataDxfId="2"/>
    <tableColumn id="4" xr3:uid="{00000000-0010-0000-0100-000004000000}" name="data_pagamento" dataDxfId="1"/>
    <tableColumn id="5" xr3:uid="{00000000-0010-0000-0100-000005000000}" name="valor_pago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317CC1-7354-477E-AD67-30E852BFD2E5}" name="Tabela3" displayName="Tabela3" ref="A1:B354" totalsRowShown="0">
  <autoFilter ref="A1:B354" xr:uid="{13317CC1-7354-477E-AD67-30E852BFD2E5}"/>
  <tableColumns count="2">
    <tableColumn id="2" xr3:uid="{63A683A0-526B-42D8-83C5-9B3FCE381EC9}" name="numero_convenio"/>
    <tableColumn id="1" xr3:uid="{99C3EEED-1AE9-4FF6-8908-B17784A36522}" name="plano_inter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"/>
  <sheetViews>
    <sheetView workbookViewId="0"/>
  </sheetViews>
  <sheetFormatPr defaultRowHeight="15" x14ac:dyDescent="0.25"/>
  <cols>
    <col min="1" max="1" width="9.7109375" bestFit="1" customWidth="1"/>
    <col min="2" max="2" width="24.28515625" bestFit="1" customWidth="1"/>
    <col min="3" max="3" width="19.140625" bestFit="1" customWidth="1"/>
    <col min="5" max="5" width="51.7109375" customWidth="1"/>
    <col min="6" max="6" width="11.42578125" style="1" bestFit="1" customWidth="1"/>
    <col min="7" max="7" width="15" style="3" bestFit="1" customWidth="1"/>
    <col min="8" max="8" width="24.7109375" style="3" bestFit="1" customWidth="1"/>
    <col min="9" max="9" width="15.85546875" style="3" bestFit="1" customWidth="1"/>
  </cols>
  <sheetData>
    <row r="1" spans="1:9" x14ac:dyDescent="0.25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s="1" t="s">
        <v>417</v>
      </c>
      <c r="G1" s="3" t="s">
        <v>418</v>
      </c>
      <c r="H1" s="3" t="s">
        <v>419</v>
      </c>
      <c r="I1" s="3" t="s">
        <v>420</v>
      </c>
    </row>
    <row r="2" spans="1:9" x14ac:dyDescent="0.25">
      <c r="A2" t="s">
        <v>0</v>
      </c>
      <c r="B2" t="s">
        <v>1</v>
      </c>
      <c r="C2" t="s">
        <v>2</v>
      </c>
      <c r="D2" t="str">
        <f>RIGHT(lista!$C2,4)</f>
        <v>2022</v>
      </c>
      <c r="E2" t="s">
        <v>796</v>
      </c>
      <c r="F2" s="1">
        <v>46386</v>
      </c>
      <c r="G2" s="3">
        <f>Tabela1[[#This Row],[valor_contrapartida]]+Tabela1[[#This Row],[valor_orgao]]</f>
        <v>11015932.779999999</v>
      </c>
      <c r="H2" s="3">
        <v>1101593.26</v>
      </c>
      <c r="I2" s="3">
        <v>9914339.5199999996</v>
      </c>
    </row>
    <row r="3" spans="1:9" x14ac:dyDescent="0.25">
      <c r="A3" t="s">
        <v>0</v>
      </c>
      <c r="B3" t="s">
        <v>1</v>
      </c>
      <c r="C3" t="s">
        <v>3</v>
      </c>
      <c r="D3" t="str">
        <f>RIGHT(lista!$C3,4)</f>
        <v>2022</v>
      </c>
      <c r="E3" t="s">
        <v>797</v>
      </c>
      <c r="F3" s="1">
        <v>46142</v>
      </c>
      <c r="G3" s="3">
        <f>Tabela1[[#This Row],[valor_contrapartida]]+Tabela1[[#This Row],[valor_orgao]]</f>
        <v>12990052.93</v>
      </c>
      <c r="H3" s="3">
        <v>2990052.93</v>
      </c>
      <c r="I3" s="3">
        <v>10000000</v>
      </c>
    </row>
    <row r="4" spans="1:9" x14ac:dyDescent="0.25">
      <c r="A4" t="s">
        <v>0</v>
      </c>
      <c r="B4" t="s">
        <v>4</v>
      </c>
      <c r="C4" t="s">
        <v>5</v>
      </c>
      <c r="D4" t="str">
        <f>RIGHT(lista!$C4,4)</f>
        <v>2022</v>
      </c>
      <c r="E4" t="s">
        <v>798</v>
      </c>
      <c r="F4" s="1">
        <v>45457</v>
      </c>
      <c r="G4" s="3">
        <f>Tabela1[[#This Row],[valor_contrapartida]]+Tabela1[[#This Row],[valor_orgao]]</f>
        <v>311899.44999999995</v>
      </c>
      <c r="H4" s="3">
        <v>12475.98</v>
      </c>
      <c r="I4" s="3">
        <v>299423.46999999997</v>
      </c>
    </row>
    <row r="5" spans="1:9" x14ac:dyDescent="0.25">
      <c r="A5" t="s">
        <v>0</v>
      </c>
      <c r="B5" t="s">
        <v>4</v>
      </c>
      <c r="C5" t="s">
        <v>6</v>
      </c>
      <c r="D5" t="str">
        <f>RIGHT(lista!$C5,4)</f>
        <v>2022</v>
      </c>
      <c r="E5" t="s">
        <v>799</v>
      </c>
      <c r="F5" s="1">
        <v>46056</v>
      </c>
      <c r="G5" s="3">
        <f>Tabela1[[#This Row],[valor_contrapartida]]+Tabela1[[#This Row],[valor_orgao]]</f>
        <v>1601371.53</v>
      </c>
      <c r="H5" s="3">
        <v>101371.53</v>
      </c>
      <c r="I5" s="3">
        <v>1500000</v>
      </c>
    </row>
    <row r="6" spans="1:9" x14ac:dyDescent="0.25">
      <c r="A6" t="s">
        <v>0</v>
      </c>
      <c r="B6" t="s">
        <v>4</v>
      </c>
      <c r="C6" t="s">
        <v>7</v>
      </c>
      <c r="D6" t="str">
        <f>RIGHT(lista!$C6,4)</f>
        <v>2022</v>
      </c>
      <c r="E6" t="s">
        <v>800</v>
      </c>
      <c r="F6" s="1">
        <v>45465</v>
      </c>
      <c r="G6" s="3">
        <f>Tabela1[[#This Row],[valor_contrapartida]]+Tabela1[[#This Row],[valor_orgao]]</f>
        <v>353408.85</v>
      </c>
      <c r="H6" s="3">
        <v>103408.85</v>
      </c>
      <c r="I6" s="3">
        <v>250000</v>
      </c>
    </row>
    <row r="7" spans="1:9" x14ac:dyDescent="0.25">
      <c r="A7" t="s">
        <v>0</v>
      </c>
      <c r="B7" t="s">
        <v>4</v>
      </c>
      <c r="C7" t="s">
        <v>8</v>
      </c>
      <c r="D7" t="str">
        <f>RIGHT(lista!$C7,4)</f>
        <v>2024</v>
      </c>
      <c r="E7" t="s">
        <v>801</v>
      </c>
      <c r="F7" s="1">
        <v>46200</v>
      </c>
      <c r="G7" s="3">
        <f>Tabela1[[#This Row],[valor_contrapartida]]+Tabela1[[#This Row],[valor_orgao]]</f>
        <v>1057368.67</v>
      </c>
      <c r="H7" s="3">
        <v>42294.75</v>
      </c>
      <c r="I7" s="3">
        <v>1015073.92</v>
      </c>
    </row>
    <row r="8" spans="1:9" x14ac:dyDescent="0.25">
      <c r="A8" t="s">
        <v>0</v>
      </c>
      <c r="B8" t="s">
        <v>9</v>
      </c>
      <c r="C8" t="s">
        <v>10</v>
      </c>
      <c r="D8" t="str">
        <f>RIGHT(lista!$C8,4)</f>
        <v>2022</v>
      </c>
      <c r="E8" t="s">
        <v>802</v>
      </c>
      <c r="F8" s="1">
        <v>46204</v>
      </c>
      <c r="G8" s="3">
        <f>Tabela1[[#This Row],[valor_contrapartida]]+Tabela1[[#This Row],[valor_orgao]]</f>
        <v>1050350.8999999999</v>
      </c>
      <c r="H8" s="3">
        <v>52517.54</v>
      </c>
      <c r="I8" s="3">
        <v>997833.36</v>
      </c>
    </row>
    <row r="9" spans="1:9" x14ac:dyDescent="0.25">
      <c r="A9" t="s">
        <v>0</v>
      </c>
      <c r="B9" t="s">
        <v>9</v>
      </c>
      <c r="C9" t="s">
        <v>11</v>
      </c>
      <c r="D9" t="str">
        <f>RIGHT(lista!$C9,4)</f>
        <v>2022</v>
      </c>
      <c r="E9" t="s">
        <v>803</v>
      </c>
      <c r="F9" s="1">
        <v>46062</v>
      </c>
      <c r="G9" s="3">
        <f>Tabela1[[#This Row],[valor_contrapartida]]+Tabela1[[#This Row],[valor_orgao]]</f>
        <v>6238801.7699999996</v>
      </c>
      <c r="H9" s="3">
        <v>311940.09000000003</v>
      </c>
      <c r="I9" s="3">
        <v>5926861.6799999997</v>
      </c>
    </row>
    <row r="10" spans="1:9" x14ac:dyDescent="0.25">
      <c r="A10" t="s">
        <v>0</v>
      </c>
      <c r="B10" t="s">
        <v>9</v>
      </c>
      <c r="C10" t="s">
        <v>12</v>
      </c>
      <c r="D10" t="str">
        <f>RIGHT(lista!$C10,4)</f>
        <v>2024</v>
      </c>
      <c r="E10" t="s">
        <v>804</v>
      </c>
      <c r="F10" s="1">
        <v>46201</v>
      </c>
      <c r="G10" s="3">
        <f>Tabela1[[#This Row],[valor_contrapartida]]+Tabela1[[#This Row],[valor_orgao]]</f>
        <v>1673751.7</v>
      </c>
      <c r="H10" s="3">
        <v>673751.7</v>
      </c>
      <c r="I10" s="3">
        <v>1000000</v>
      </c>
    </row>
    <row r="11" spans="1:9" x14ac:dyDescent="0.25">
      <c r="A11" t="s">
        <v>0</v>
      </c>
      <c r="B11" t="s">
        <v>13</v>
      </c>
      <c r="C11" t="s">
        <v>14</v>
      </c>
      <c r="D11" t="str">
        <f>RIGHT(lista!$C11,4)</f>
        <v>2022</v>
      </c>
      <c r="E11" t="s">
        <v>805</v>
      </c>
      <c r="F11" s="1">
        <v>45971</v>
      </c>
      <c r="G11" s="3">
        <f>Tabela1[[#This Row],[valor_contrapartida]]+Tabela1[[#This Row],[valor_orgao]]</f>
        <v>7103939.79</v>
      </c>
      <c r="H11" s="3">
        <v>284157.59000000003</v>
      </c>
      <c r="I11" s="3">
        <v>6819782.2000000002</v>
      </c>
    </row>
    <row r="12" spans="1:9" x14ac:dyDescent="0.25">
      <c r="A12" t="s">
        <v>0</v>
      </c>
      <c r="B12" t="s">
        <v>15</v>
      </c>
      <c r="C12" t="s">
        <v>16</v>
      </c>
      <c r="D12" t="str">
        <f>RIGHT(lista!$C12,4)</f>
        <v>2022</v>
      </c>
      <c r="E12" t="s">
        <v>806</v>
      </c>
      <c r="F12" s="1">
        <v>45752</v>
      </c>
      <c r="G12" s="3">
        <f>Tabela1[[#This Row],[valor_contrapartida]]+Tabela1[[#This Row],[valor_orgao]]</f>
        <v>391579.66000000003</v>
      </c>
      <c r="H12" s="3">
        <v>39157.97</v>
      </c>
      <c r="I12" s="3">
        <v>352421.69</v>
      </c>
    </row>
    <row r="13" spans="1:9" x14ac:dyDescent="0.25">
      <c r="A13" t="s">
        <v>0</v>
      </c>
      <c r="B13" t="s">
        <v>15</v>
      </c>
      <c r="C13" t="s">
        <v>17</v>
      </c>
      <c r="D13" t="str">
        <f>RIGHT(lista!$C13,4)</f>
        <v>2022</v>
      </c>
      <c r="E13" t="s">
        <v>807</v>
      </c>
      <c r="F13" s="1">
        <v>46117</v>
      </c>
      <c r="G13" s="3">
        <f>Tabela1[[#This Row],[valor_contrapartida]]+Tabela1[[#This Row],[valor_orgao]]</f>
        <v>391579.66000000003</v>
      </c>
      <c r="H13" s="3">
        <v>39157.97</v>
      </c>
      <c r="I13" s="3">
        <v>352421.69</v>
      </c>
    </row>
    <row r="14" spans="1:9" x14ac:dyDescent="0.25">
      <c r="A14" t="s">
        <v>0</v>
      </c>
      <c r="B14" t="s">
        <v>15</v>
      </c>
      <c r="C14" t="s">
        <v>18</v>
      </c>
      <c r="D14" t="str">
        <f>RIGHT(lista!$C14,4)</f>
        <v>2022</v>
      </c>
      <c r="E14" t="s">
        <v>808</v>
      </c>
      <c r="F14" s="1">
        <v>46077</v>
      </c>
      <c r="G14" s="3">
        <f>Tabela1[[#This Row],[valor_contrapartida]]+Tabela1[[#This Row],[valor_orgao]]</f>
        <v>2663562.14</v>
      </c>
      <c r="H14" s="3">
        <v>225523.14</v>
      </c>
      <c r="I14" s="3">
        <v>2438039</v>
      </c>
    </row>
    <row r="15" spans="1:9" x14ac:dyDescent="0.25">
      <c r="A15" t="s">
        <v>0</v>
      </c>
      <c r="B15" t="s">
        <v>15</v>
      </c>
      <c r="C15" t="s">
        <v>19</v>
      </c>
      <c r="D15" t="str">
        <f>RIGHT(lista!$C15,4)</f>
        <v>2025</v>
      </c>
      <c r="E15" t="s">
        <v>809</v>
      </c>
      <c r="F15" s="1">
        <v>46178</v>
      </c>
      <c r="G15" s="3">
        <f>Tabela1[[#This Row],[valor_contrapartida]]+Tabela1[[#This Row],[valor_orgao]]</f>
        <v>2305280.42</v>
      </c>
      <c r="H15" s="3">
        <v>134523.62</v>
      </c>
      <c r="I15" s="3">
        <v>2170756.7999999998</v>
      </c>
    </row>
    <row r="16" spans="1:9" x14ac:dyDescent="0.25">
      <c r="A16" t="s">
        <v>0</v>
      </c>
      <c r="B16" t="s">
        <v>20</v>
      </c>
      <c r="C16" t="s">
        <v>21</v>
      </c>
      <c r="D16" t="str">
        <f>RIGHT(lista!$C16,4)</f>
        <v>2022</v>
      </c>
      <c r="E16" t="s">
        <v>810</v>
      </c>
      <c r="F16" s="1">
        <v>45835</v>
      </c>
      <c r="G16" s="3">
        <f>Tabela1[[#This Row],[valor_contrapartida]]+Tabela1[[#This Row],[valor_orgao]]</f>
        <v>2729586.98</v>
      </c>
      <c r="H16" s="3">
        <v>109183.48</v>
      </c>
      <c r="I16" s="3">
        <v>2620403.5</v>
      </c>
    </row>
    <row r="17" spans="1:9" x14ac:dyDescent="0.25">
      <c r="A17" t="s">
        <v>0</v>
      </c>
      <c r="B17" t="s">
        <v>20</v>
      </c>
      <c r="C17" t="s">
        <v>22</v>
      </c>
      <c r="D17" t="str">
        <f>RIGHT(lista!$C17,4)</f>
        <v>2023</v>
      </c>
      <c r="E17" t="s">
        <v>811</v>
      </c>
      <c r="F17" s="1">
        <v>46101</v>
      </c>
      <c r="G17" s="3">
        <f>Tabela1[[#This Row],[valor_contrapartida]]+Tabela1[[#This Row],[valor_orgao]]</f>
        <v>999201.4</v>
      </c>
      <c r="H17" s="3">
        <v>39968.04</v>
      </c>
      <c r="I17" s="3">
        <v>959233.36</v>
      </c>
    </row>
    <row r="18" spans="1:9" x14ac:dyDescent="0.25">
      <c r="A18" t="s">
        <v>0</v>
      </c>
      <c r="B18" t="s">
        <v>20</v>
      </c>
      <c r="C18" t="s">
        <v>23</v>
      </c>
      <c r="D18" t="str">
        <f>RIGHT(lista!$C18,4)</f>
        <v>2024</v>
      </c>
      <c r="E18" t="s">
        <v>812</v>
      </c>
      <c r="F18" s="1">
        <v>46204</v>
      </c>
      <c r="G18" s="3">
        <f>Tabela1[[#This Row],[valor_contrapartida]]+Tabela1[[#This Row],[valor_orgao]]</f>
        <v>3455913.23</v>
      </c>
      <c r="H18" s="3">
        <v>138236.53</v>
      </c>
      <c r="I18" s="3">
        <v>3317676.7</v>
      </c>
    </row>
    <row r="19" spans="1:9" x14ac:dyDescent="0.25">
      <c r="A19" t="s">
        <v>0</v>
      </c>
      <c r="B19" t="s">
        <v>24</v>
      </c>
      <c r="C19" t="s">
        <v>25</v>
      </c>
      <c r="D19" t="str">
        <f>RIGHT(lista!$C19,4)</f>
        <v>2022</v>
      </c>
      <c r="E19" t="s">
        <v>813</v>
      </c>
      <c r="F19" s="1">
        <v>46019</v>
      </c>
      <c r="G19" s="3">
        <f>Tabela1[[#This Row],[valor_contrapartida]]+Tabela1[[#This Row],[valor_orgao]]</f>
        <v>282898.59999999998</v>
      </c>
      <c r="H19" s="3">
        <v>182898.6</v>
      </c>
      <c r="I19" s="3">
        <v>100000</v>
      </c>
    </row>
    <row r="20" spans="1:9" x14ac:dyDescent="0.25">
      <c r="A20" t="s">
        <v>0</v>
      </c>
      <c r="B20" t="s">
        <v>24</v>
      </c>
      <c r="C20" t="s">
        <v>26</v>
      </c>
      <c r="D20" t="str">
        <f>RIGHT(lista!$C20,4)</f>
        <v>2024</v>
      </c>
      <c r="E20" t="s">
        <v>814</v>
      </c>
      <c r="F20" s="1">
        <v>45942</v>
      </c>
      <c r="G20" s="3">
        <f>Tabela1[[#This Row],[valor_contrapartida]]+Tabela1[[#This Row],[valor_orgao]]</f>
        <v>2289490.7999999998</v>
      </c>
      <c r="H20" s="3">
        <v>289490.8</v>
      </c>
      <c r="I20" s="3">
        <v>2000000</v>
      </c>
    </row>
    <row r="21" spans="1:9" x14ac:dyDescent="0.25">
      <c r="A21" t="s">
        <v>0</v>
      </c>
      <c r="B21" t="s">
        <v>27</v>
      </c>
      <c r="C21" t="s">
        <v>28</v>
      </c>
      <c r="D21" t="str">
        <f>RIGHT(lista!$C21,4)</f>
        <v>2016</v>
      </c>
      <c r="E21" t="s">
        <v>815</v>
      </c>
      <c r="F21" s="1">
        <v>42532</v>
      </c>
      <c r="G21" s="3">
        <f>Tabela1[[#This Row],[valor_contrapartida]]+Tabela1[[#This Row],[valor_orgao]]</f>
        <v>948159.59</v>
      </c>
      <c r="H21" s="3">
        <v>148159.59</v>
      </c>
      <c r="I21" s="3">
        <v>800000</v>
      </c>
    </row>
    <row r="22" spans="1:9" x14ac:dyDescent="0.25">
      <c r="A22" t="s">
        <v>0</v>
      </c>
      <c r="B22" t="s">
        <v>27</v>
      </c>
      <c r="C22" t="s">
        <v>29</v>
      </c>
      <c r="D22" t="str">
        <f>RIGHT(lista!$C22,4)</f>
        <v>2020</v>
      </c>
      <c r="E22" t="s">
        <v>816</v>
      </c>
      <c r="F22" s="1">
        <v>46184</v>
      </c>
      <c r="G22" s="3">
        <f>Tabela1[[#This Row],[valor_contrapartida]]+Tabela1[[#This Row],[valor_orgao]]</f>
        <v>948159.59</v>
      </c>
      <c r="H22" s="3">
        <v>148159.59</v>
      </c>
      <c r="I22" s="3">
        <v>800000</v>
      </c>
    </row>
    <row r="23" spans="1:9" x14ac:dyDescent="0.25">
      <c r="A23" t="s">
        <v>0</v>
      </c>
      <c r="B23" t="s">
        <v>27</v>
      </c>
      <c r="C23" t="s">
        <v>30</v>
      </c>
      <c r="D23" t="str">
        <f>RIGHT(lista!$C23,4)</f>
        <v>2021</v>
      </c>
      <c r="E23" t="s">
        <v>817</v>
      </c>
      <c r="F23" s="1">
        <v>46076</v>
      </c>
      <c r="G23" s="3">
        <f>Tabela1[[#This Row],[valor_contrapartida]]+Tabela1[[#This Row],[valor_orgao]]</f>
        <v>1356322.78</v>
      </c>
      <c r="H23" s="3">
        <v>296322.78000000003</v>
      </c>
      <c r="I23" s="3">
        <v>1060000</v>
      </c>
    </row>
    <row r="24" spans="1:9" x14ac:dyDescent="0.25">
      <c r="A24" t="s">
        <v>0</v>
      </c>
      <c r="B24" t="s">
        <v>27</v>
      </c>
      <c r="C24" t="s">
        <v>31</v>
      </c>
      <c r="D24" t="str">
        <f>RIGHT(lista!$C24,4)</f>
        <v>2021</v>
      </c>
      <c r="E24" t="s">
        <v>818</v>
      </c>
      <c r="F24" s="1">
        <v>46122</v>
      </c>
      <c r="G24" s="3">
        <f>Tabela1[[#This Row],[valor_contrapartida]]+Tabela1[[#This Row],[valor_orgao]]</f>
        <v>32243287.969999999</v>
      </c>
      <c r="H24" s="3">
        <v>3243287.97</v>
      </c>
      <c r="I24" s="3">
        <v>29000000</v>
      </c>
    </row>
    <row r="25" spans="1:9" x14ac:dyDescent="0.25">
      <c r="A25" t="s">
        <v>0</v>
      </c>
      <c r="B25" t="s">
        <v>27</v>
      </c>
      <c r="C25" t="s">
        <v>32</v>
      </c>
      <c r="D25" t="str">
        <f>RIGHT(lista!$C25,4)</f>
        <v>2022</v>
      </c>
      <c r="E25" t="s">
        <v>819</v>
      </c>
      <c r="F25" s="1">
        <v>46202</v>
      </c>
      <c r="G25" s="3">
        <f>Tabela1[[#This Row],[valor_contrapartida]]+Tabela1[[#This Row],[valor_orgao]]</f>
        <v>2293094.85</v>
      </c>
      <c r="H25" s="3">
        <v>943094.85</v>
      </c>
      <c r="I25" s="3">
        <v>1350000</v>
      </c>
    </row>
    <row r="26" spans="1:9" x14ac:dyDescent="0.25">
      <c r="A26" t="s">
        <v>0</v>
      </c>
      <c r="B26" t="s">
        <v>27</v>
      </c>
      <c r="C26" t="s">
        <v>33</v>
      </c>
      <c r="D26" t="str">
        <f>RIGHT(lista!$C26,4)</f>
        <v>2022</v>
      </c>
      <c r="E26" t="s">
        <v>820</v>
      </c>
      <c r="F26" s="1">
        <v>46204</v>
      </c>
      <c r="G26" s="3">
        <f>Tabela1[[#This Row],[valor_contrapartida]]+Tabela1[[#This Row],[valor_orgao]]</f>
        <v>707817.02</v>
      </c>
      <c r="H26" s="3">
        <v>207817.02</v>
      </c>
      <c r="I26" s="3">
        <v>500000</v>
      </c>
    </row>
    <row r="27" spans="1:9" x14ac:dyDescent="0.25">
      <c r="A27" t="s">
        <v>0</v>
      </c>
      <c r="B27" t="s">
        <v>34</v>
      </c>
      <c r="C27" t="s">
        <v>35</v>
      </c>
      <c r="D27" t="str">
        <f>RIGHT(lista!$C27,4)</f>
        <v>2022</v>
      </c>
      <c r="E27" t="s">
        <v>821</v>
      </c>
      <c r="F27" s="1">
        <v>45527</v>
      </c>
      <c r="G27" s="3">
        <f>Tabela1[[#This Row],[valor_contrapartida]]+Tabela1[[#This Row],[valor_orgao]]</f>
        <v>460388.98</v>
      </c>
      <c r="H27" s="3">
        <v>60388.98</v>
      </c>
      <c r="I27" s="3">
        <v>400000</v>
      </c>
    </row>
    <row r="28" spans="1:9" x14ac:dyDescent="0.25">
      <c r="A28" t="s">
        <v>0</v>
      </c>
      <c r="B28" t="s">
        <v>34</v>
      </c>
      <c r="C28" t="s">
        <v>36</v>
      </c>
      <c r="D28" t="str">
        <f>RIGHT(lista!$C28,4)</f>
        <v>2022</v>
      </c>
      <c r="E28" t="s">
        <v>822</v>
      </c>
      <c r="F28" s="1">
        <v>45472</v>
      </c>
      <c r="G28" s="3">
        <f>Tabela1[[#This Row],[valor_contrapartida]]+Tabela1[[#This Row],[valor_orgao]]</f>
        <v>120518.89</v>
      </c>
      <c r="H28" s="3">
        <v>14518.89</v>
      </c>
      <c r="I28" s="3">
        <v>106000</v>
      </c>
    </row>
    <row r="29" spans="1:9" x14ac:dyDescent="0.25">
      <c r="A29" t="s">
        <v>0</v>
      </c>
      <c r="B29" t="s">
        <v>34</v>
      </c>
      <c r="C29" t="s">
        <v>37</v>
      </c>
      <c r="D29" t="str">
        <f>RIGHT(lista!$C29,4)</f>
        <v>2022</v>
      </c>
      <c r="E29" t="s">
        <v>823</v>
      </c>
      <c r="F29" s="1">
        <v>45472</v>
      </c>
      <c r="G29" s="3">
        <f>Tabela1[[#This Row],[valor_contrapartida]]+Tabela1[[#This Row],[valor_orgao]]</f>
        <v>120518.89</v>
      </c>
      <c r="H29" s="3">
        <v>14518.89</v>
      </c>
      <c r="I29" s="3">
        <v>106000</v>
      </c>
    </row>
    <row r="30" spans="1:9" x14ac:dyDescent="0.25">
      <c r="A30" t="s">
        <v>0</v>
      </c>
      <c r="B30" t="s">
        <v>34</v>
      </c>
      <c r="C30" t="s">
        <v>38</v>
      </c>
      <c r="D30" t="str">
        <f>RIGHT(lista!$C30,4)</f>
        <v>2022</v>
      </c>
      <c r="E30" t="s">
        <v>824</v>
      </c>
      <c r="F30" s="1">
        <v>46023</v>
      </c>
      <c r="G30" s="3">
        <f>Tabela1[[#This Row],[valor_contrapartida]]+Tabela1[[#This Row],[valor_orgao]]</f>
        <v>2075573.43</v>
      </c>
      <c r="H30" s="3">
        <v>375573.43</v>
      </c>
      <c r="I30" s="3">
        <v>1700000</v>
      </c>
    </row>
    <row r="31" spans="1:9" x14ac:dyDescent="0.25">
      <c r="A31" t="s">
        <v>0</v>
      </c>
      <c r="B31" t="s">
        <v>34</v>
      </c>
      <c r="C31" t="s">
        <v>39</v>
      </c>
      <c r="D31" t="str">
        <f>RIGHT(lista!$C31,4)</f>
        <v>2022</v>
      </c>
      <c r="E31" t="s">
        <v>825</v>
      </c>
      <c r="F31" s="1">
        <v>46023</v>
      </c>
      <c r="G31" s="3">
        <f>Tabela1[[#This Row],[valor_contrapartida]]+Tabela1[[#This Row],[valor_orgao]]</f>
        <v>7979731.7000000002</v>
      </c>
      <c r="H31" s="3">
        <v>256664.26</v>
      </c>
      <c r="I31" s="3">
        <v>7723067.4400000004</v>
      </c>
    </row>
    <row r="32" spans="1:9" x14ac:dyDescent="0.25">
      <c r="A32" t="s">
        <v>0</v>
      </c>
      <c r="B32" t="s">
        <v>34</v>
      </c>
      <c r="C32" t="s">
        <v>40</v>
      </c>
      <c r="D32" t="str">
        <f>RIGHT(lista!$C32,4)</f>
        <v>2024</v>
      </c>
      <c r="E32" t="s">
        <v>826</v>
      </c>
      <c r="F32" s="1">
        <v>45967</v>
      </c>
      <c r="G32" s="3">
        <f>Tabela1[[#This Row],[valor_contrapartida]]+Tabela1[[#This Row],[valor_orgao]]</f>
        <v>2105272.91</v>
      </c>
      <c r="H32" s="3">
        <v>105272.91</v>
      </c>
      <c r="I32" s="3">
        <v>2000000</v>
      </c>
    </row>
    <row r="33" spans="1:9" x14ac:dyDescent="0.25">
      <c r="A33" t="s">
        <v>0</v>
      </c>
      <c r="B33" t="s">
        <v>41</v>
      </c>
      <c r="C33" t="s">
        <v>42</v>
      </c>
      <c r="D33" t="str">
        <f>RIGHT(lista!$C33,4)</f>
        <v>2022</v>
      </c>
      <c r="E33" t="s">
        <v>827</v>
      </c>
      <c r="F33" s="1">
        <v>46145</v>
      </c>
      <c r="G33" s="3">
        <f>Tabela1[[#This Row],[valor_contrapartida]]+Tabela1[[#This Row],[valor_orgao]]</f>
        <v>5006430.95</v>
      </c>
      <c r="H33" s="3">
        <v>250321.55</v>
      </c>
      <c r="I33" s="3">
        <v>4756109.4000000004</v>
      </c>
    </row>
    <row r="34" spans="1:9" x14ac:dyDescent="0.25">
      <c r="A34" t="s">
        <v>0</v>
      </c>
      <c r="B34" t="s">
        <v>41</v>
      </c>
      <c r="C34" t="s">
        <v>43</v>
      </c>
      <c r="D34" t="str">
        <f>RIGHT(lista!$C34,4)</f>
        <v>2022</v>
      </c>
      <c r="E34" t="s">
        <v>828</v>
      </c>
      <c r="F34" s="1">
        <v>46144</v>
      </c>
      <c r="G34" s="3">
        <f>Tabela1[[#This Row],[valor_contrapartida]]+Tabela1[[#This Row],[valor_orgao]]</f>
        <v>4283309.88</v>
      </c>
      <c r="H34" s="3">
        <v>345799.78</v>
      </c>
      <c r="I34" s="3">
        <v>3937510.1</v>
      </c>
    </row>
    <row r="35" spans="1:9" x14ac:dyDescent="0.25">
      <c r="A35" t="s">
        <v>0</v>
      </c>
      <c r="B35" t="s">
        <v>41</v>
      </c>
      <c r="C35" t="s">
        <v>44</v>
      </c>
      <c r="D35" t="str">
        <f>RIGHT(lista!$C35,4)</f>
        <v>2022</v>
      </c>
      <c r="E35" t="s">
        <v>829</v>
      </c>
      <c r="F35" s="1">
        <v>45474</v>
      </c>
      <c r="G35" s="3">
        <f>Tabela1[[#This Row],[valor_contrapartida]]+Tabela1[[#This Row],[valor_orgao]]</f>
        <v>169049.78</v>
      </c>
      <c r="H35" s="3">
        <v>48605.58</v>
      </c>
      <c r="I35" s="3">
        <v>120444.2</v>
      </c>
    </row>
    <row r="36" spans="1:9" x14ac:dyDescent="0.25">
      <c r="A36" t="s">
        <v>0</v>
      </c>
      <c r="B36" t="s">
        <v>41</v>
      </c>
      <c r="C36" t="s">
        <v>45</v>
      </c>
      <c r="D36" t="str">
        <f>RIGHT(lista!$C36,4)</f>
        <v>2022</v>
      </c>
      <c r="E36" t="s">
        <v>830</v>
      </c>
      <c r="F36" s="1">
        <v>45474</v>
      </c>
      <c r="G36" s="3">
        <f>Tabela1[[#This Row],[valor_contrapartida]]+Tabela1[[#This Row],[valor_orgao]]</f>
        <v>169049.78</v>
      </c>
      <c r="H36" s="3">
        <v>48605.58</v>
      </c>
      <c r="I36" s="3">
        <v>120444.2</v>
      </c>
    </row>
    <row r="37" spans="1:9" x14ac:dyDescent="0.25">
      <c r="A37" t="s">
        <v>0</v>
      </c>
      <c r="B37" t="s">
        <v>41</v>
      </c>
      <c r="C37" t="s">
        <v>46</v>
      </c>
      <c r="D37" t="str">
        <f>RIGHT(lista!$C37,4)</f>
        <v>2022</v>
      </c>
      <c r="E37" t="s">
        <v>831</v>
      </c>
      <c r="F37" s="1">
        <v>46378</v>
      </c>
      <c r="G37" s="3">
        <f>Tabela1[[#This Row],[valor_contrapartida]]+Tabela1[[#This Row],[valor_orgao]]</f>
        <v>372579.93</v>
      </c>
      <c r="H37" s="3">
        <v>72579.929999999993</v>
      </c>
      <c r="I37" s="3">
        <v>300000</v>
      </c>
    </row>
    <row r="38" spans="1:9" x14ac:dyDescent="0.25">
      <c r="A38" t="s">
        <v>0</v>
      </c>
      <c r="B38" t="s">
        <v>41</v>
      </c>
      <c r="C38" t="s">
        <v>47</v>
      </c>
      <c r="D38" t="str">
        <f>RIGHT(lista!$C38,4)</f>
        <v>2022</v>
      </c>
      <c r="E38" t="s">
        <v>832</v>
      </c>
      <c r="F38" s="1">
        <v>45839</v>
      </c>
      <c r="G38" s="3">
        <f>Tabela1[[#This Row],[valor_contrapartida]]+Tabela1[[#This Row],[valor_orgao]]</f>
        <v>144413.17000000001</v>
      </c>
      <c r="H38" s="3">
        <v>5776.53</v>
      </c>
      <c r="I38" s="3">
        <v>138636.64000000001</v>
      </c>
    </row>
    <row r="39" spans="1:9" x14ac:dyDescent="0.25">
      <c r="A39" t="s">
        <v>0</v>
      </c>
      <c r="B39" t="s">
        <v>41</v>
      </c>
      <c r="C39" t="s">
        <v>48</v>
      </c>
      <c r="D39" t="str">
        <f>RIGHT(lista!$C39,4)</f>
        <v>2022</v>
      </c>
      <c r="E39" t="s">
        <v>833</v>
      </c>
      <c r="F39" s="1">
        <v>45839</v>
      </c>
      <c r="G39" s="3">
        <f>Tabela1[[#This Row],[valor_contrapartida]]+Tabela1[[#This Row],[valor_orgao]]</f>
        <v>434598.89</v>
      </c>
      <c r="H39" s="3">
        <v>34598.89</v>
      </c>
      <c r="I39" s="3">
        <v>400000</v>
      </c>
    </row>
    <row r="40" spans="1:9" x14ac:dyDescent="0.25">
      <c r="A40" t="s">
        <v>0</v>
      </c>
      <c r="B40" t="s">
        <v>49</v>
      </c>
      <c r="C40" t="s">
        <v>50</v>
      </c>
      <c r="D40" t="str">
        <f>RIGHT(lista!$C40,4)</f>
        <v>2022</v>
      </c>
      <c r="E40" t="s">
        <v>834</v>
      </c>
      <c r="F40" s="1">
        <v>46209</v>
      </c>
      <c r="G40" s="3">
        <f>Tabela1[[#This Row],[valor_contrapartida]]+Tabela1[[#This Row],[valor_orgao]]</f>
        <v>1879950.3</v>
      </c>
      <c r="H40" s="3">
        <v>187995</v>
      </c>
      <c r="I40" s="3">
        <v>1691955.3</v>
      </c>
    </row>
    <row r="41" spans="1:9" x14ac:dyDescent="0.25">
      <c r="A41" t="s">
        <v>0</v>
      </c>
      <c r="B41" t="s">
        <v>49</v>
      </c>
      <c r="C41" t="s">
        <v>51</v>
      </c>
      <c r="D41" t="str">
        <f>RIGHT(lista!$C41,4)</f>
        <v>2022</v>
      </c>
      <c r="E41" t="s">
        <v>835</v>
      </c>
      <c r="F41" s="1">
        <v>45640</v>
      </c>
      <c r="G41" s="3">
        <f>Tabela1[[#This Row],[valor_contrapartida]]+Tabela1[[#This Row],[valor_orgao]]</f>
        <v>454715.8</v>
      </c>
      <c r="H41" s="3">
        <v>45471.58</v>
      </c>
      <c r="I41" s="3">
        <v>409244.22</v>
      </c>
    </row>
    <row r="42" spans="1:9" x14ac:dyDescent="0.25">
      <c r="A42" t="s">
        <v>0</v>
      </c>
      <c r="B42" t="s">
        <v>49</v>
      </c>
      <c r="C42" t="s">
        <v>52</v>
      </c>
      <c r="D42" t="str">
        <f>RIGHT(lista!$C42,4)</f>
        <v>2023</v>
      </c>
      <c r="E42" t="s">
        <v>836</v>
      </c>
      <c r="F42" s="1">
        <v>46013</v>
      </c>
      <c r="G42" s="3">
        <f>Tabela1[[#This Row],[valor_contrapartida]]+Tabela1[[#This Row],[valor_orgao]]</f>
        <v>2892436.54</v>
      </c>
      <c r="H42" s="3">
        <v>115697.46</v>
      </c>
      <c r="I42" s="3">
        <v>2776739.08</v>
      </c>
    </row>
    <row r="43" spans="1:9" x14ac:dyDescent="0.25">
      <c r="A43" t="s">
        <v>0</v>
      </c>
      <c r="B43" t="s">
        <v>53</v>
      </c>
      <c r="C43" t="s">
        <v>54</v>
      </c>
      <c r="D43" t="str">
        <f>RIGHT(lista!$C43,4)</f>
        <v>2022</v>
      </c>
      <c r="E43" t="s">
        <v>837</v>
      </c>
      <c r="F43" s="1">
        <v>45837</v>
      </c>
      <c r="G43" s="3">
        <f>Tabela1[[#This Row],[valor_contrapartida]]+Tabela1[[#This Row],[valor_orgao]]</f>
        <v>5176256.8699999992</v>
      </c>
      <c r="H43" s="3">
        <v>207050.27</v>
      </c>
      <c r="I43" s="3">
        <v>4969206.5999999996</v>
      </c>
    </row>
    <row r="44" spans="1:9" x14ac:dyDescent="0.25">
      <c r="A44" t="s">
        <v>0</v>
      </c>
      <c r="B44" t="s">
        <v>53</v>
      </c>
      <c r="C44" t="s">
        <v>55</v>
      </c>
      <c r="D44" t="str">
        <f>RIGHT(lista!$C44,4)</f>
        <v>2022</v>
      </c>
      <c r="E44" t="s">
        <v>838</v>
      </c>
      <c r="F44" s="1">
        <v>46015</v>
      </c>
      <c r="G44" s="3">
        <f>Tabela1[[#This Row],[valor_contrapartida]]+Tabela1[[#This Row],[valor_orgao]]</f>
        <v>7361642.4600000009</v>
      </c>
      <c r="H44" s="3">
        <v>324783.02</v>
      </c>
      <c r="I44" s="3">
        <v>7036859.4400000004</v>
      </c>
    </row>
    <row r="45" spans="1:9" x14ac:dyDescent="0.25">
      <c r="A45" t="s">
        <v>0</v>
      </c>
      <c r="B45" t="s">
        <v>53</v>
      </c>
      <c r="C45" t="s">
        <v>56</v>
      </c>
      <c r="D45" t="str">
        <f>RIGHT(lista!$C45,4)</f>
        <v>2025</v>
      </c>
      <c r="E45" t="s">
        <v>839</v>
      </c>
      <c r="F45" s="1">
        <v>46274</v>
      </c>
      <c r="G45" s="3">
        <f>Tabela1[[#This Row],[valor_contrapartida]]+Tabela1[[#This Row],[valor_orgao]]</f>
        <v>3677005.3</v>
      </c>
      <c r="H45" s="3">
        <v>677005.3</v>
      </c>
      <c r="I45" s="3">
        <v>3000000</v>
      </c>
    </row>
    <row r="46" spans="1:9" x14ac:dyDescent="0.25">
      <c r="A46" t="s">
        <v>0</v>
      </c>
      <c r="B46" t="s">
        <v>57</v>
      </c>
      <c r="C46" t="s">
        <v>495</v>
      </c>
      <c r="D46" t="str">
        <f>RIGHT(lista!$C46,4)</f>
        <v>2022</v>
      </c>
      <c r="E46" t="s">
        <v>840</v>
      </c>
      <c r="F46" s="1">
        <v>44862</v>
      </c>
      <c r="G46" s="3">
        <f>Tabela1[[#This Row],[valor_contrapartida]]+Tabela1[[#This Row],[valor_orgao]]</f>
        <v>207334.18</v>
      </c>
      <c r="H46" s="3">
        <v>8293.3700000000008</v>
      </c>
      <c r="I46" s="3">
        <v>199040.81</v>
      </c>
    </row>
    <row r="47" spans="1:9" x14ac:dyDescent="0.25">
      <c r="A47" t="s">
        <v>0</v>
      </c>
      <c r="B47" t="s">
        <v>57</v>
      </c>
      <c r="C47" t="s">
        <v>58</v>
      </c>
      <c r="D47" t="str">
        <f>RIGHT(lista!$C47,4)</f>
        <v>2022</v>
      </c>
      <c r="E47" t="s">
        <v>841</v>
      </c>
      <c r="F47" s="1">
        <v>46006</v>
      </c>
      <c r="G47" s="3">
        <f>Tabela1[[#This Row],[valor_contrapartida]]+Tabela1[[#This Row],[valor_orgao]]</f>
        <v>5336913.83</v>
      </c>
      <c r="H47" s="3">
        <v>281610.33</v>
      </c>
      <c r="I47" s="3">
        <v>5055303.5</v>
      </c>
    </row>
    <row r="48" spans="1:9" x14ac:dyDescent="0.25">
      <c r="A48" t="s">
        <v>0</v>
      </c>
      <c r="B48" t="s">
        <v>57</v>
      </c>
      <c r="C48" t="s">
        <v>59</v>
      </c>
      <c r="D48" t="str">
        <f>RIGHT(lista!$C48,4)</f>
        <v>2022</v>
      </c>
      <c r="E48" t="s">
        <v>842</v>
      </c>
      <c r="F48" s="1">
        <v>45467</v>
      </c>
      <c r="G48" s="3">
        <f>Tabela1[[#This Row],[valor_contrapartida]]+Tabela1[[#This Row],[valor_orgao]]</f>
        <v>92231.92</v>
      </c>
      <c r="H48" s="3">
        <v>3689.28</v>
      </c>
      <c r="I48" s="3">
        <v>88542.64</v>
      </c>
    </row>
    <row r="49" spans="1:9" x14ac:dyDescent="0.25">
      <c r="A49" t="s">
        <v>0</v>
      </c>
      <c r="B49" t="s">
        <v>57</v>
      </c>
      <c r="C49" t="s">
        <v>60</v>
      </c>
      <c r="D49" t="str">
        <f>RIGHT(lista!$C49,4)</f>
        <v>2022</v>
      </c>
      <c r="E49" t="s">
        <v>843</v>
      </c>
      <c r="F49" s="1">
        <v>45472</v>
      </c>
      <c r="G49" s="3">
        <f>Tabela1[[#This Row],[valor_contrapartida]]+Tabela1[[#This Row],[valor_orgao]]</f>
        <v>236971.85</v>
      </c>
      <c r="H49" s="3">
        <v>36971.85</v>
      </c>
      <c r="I49" s="3">
        <v>200000</v>
      </c>
    </row>
    <row r="50" spans="1:9" x14ac:dyDescent="0.25">
      <c r="A50" t="s">
        <v>0</v>
      </c>
      <c r="B50" t="s">
        <v>57</v>
      </c>
      <c r="C50" t="s">
        <v>61</v>
      </c>
      <c r="D50" t="str">
        <f>RIGHT(lista!$C50,4)</f>
        <v>2022</v>
      </c>
      <c r="E50" t="s">
        <v>844</v>
      </c>
      <c r="F50" s="1">
        <v>46019</v>
      </c>
      <c r="G50" s="3">
        <f>Tabela1[[#This Row],[valor_contrapartida]]+Tabela1[[#This Row],[valor_orgao]]</f>
        <v>2606340.42</v>
      </c>
      <c r="H50" s="3">
        <v>106340.42</v>
      </c>
      <c r="I50" s="3">
        <v>2500000</v>
      </c>
    </row>
    <row r="51" spans="1:9" x14ac:dyDescent="0.25">
      <c r="A51" t="s">
        <v>0</v>
      </c>
      <c r="B51" t="s">
        <v>62</v>
      </c>
      <c r="C51" t="s">
        <v>63</v>
      </c>
      <c r="D51" t="str">
        <f>RIGHT(lista!$C51,4)</f>
        <v>2018</v>
      </c>
      <c r="E51" t="s">
        <v>845</v>
      </c>
      <c r="F51" s="1">
        <v>46208</v>
      </c>
      <c r="G51" s="3">
        <f>Tabela1[[#This Row],[valor_contrapartida]]+Tabela1[[#This Row],[valor_orgao]]</f>
        <v>40000000</v>
      </c>
      <c r="H51" s="3">
        <v>6000000</v>
      </c>
      <c r="I51" s="3">
        <v>34000000</v>
      </c>
    </row>
    <row r="52" spans="1:9" x14ac:dyDescent="0.25">
      <c r="A52" t="s">
        <v>0</v>
      </c>
      <c r="B52" t="s">
        <v>62</v>
      </c>
      <c r="C52" t="s">
        <v>64</v>
      </c>
      <c r="D52" t="str">
        <f>RIGHT(lista!$C52,4)</f>
        <v>2022</v>
      </c>
      <c r="E52" t="s">
        <v>846</v>
      </c>
      <c r="F52" s="1">
        <v>45120</v>
      </c>
      <c r="G52" s="3">
        <f>Tabela1[[#This Row],[valor_contrapartida]]+Tabela1[[#This Row],[valor_orgao]]</f>
        <v>14443735.65</v>
      </c>
      <c r="H52" s="3">
        <v>1444373.65</v>
      </c>
      <c r="I52" s="3">
        <v>12999362</v>
      </c>
    </row>
    <row r="53" spans="1:9" x14ac:dyDescent="0.25">
      <c r="A53" t="s">
        <v>0</v>
      </c>
      <c r="B53" t="s">
        <v>62</v>
      </c>
      <c r="C53" t="s">
        <v>65</v>
      </c>
      <c r="D53" t="str">
        <f>RIGHT(lista!$C53,4)</f>
        <v>2022</v>
      </c>
      <c r="E53" t="s">
        <v>847</v>
      </c>
      <c r="F53" s="1">
        <v>46195</v>
      </c>
      <c r="G53" s="3">
        <f>Tabela1[[#This Row],[valor_contrapartida]]+Tabela1[[#This Row],[valor_orgao]]</f>
        <v>8358868.1099999994</v>
      </c>
      <c r="H53" s="3">
        <v>835886.81</v>
      </c>
      <c r="I53" s="3">
        <v>7522981.2999999998</v>
      </c>
    </row>
    <row r="54" spans="1:9" x14ac:dyDescent="0.25">
      <c r="A54" t="s">
        <v>0</v>
      </c>
      <c r="B54" t="s">
        <v>62</v>
      </c>
      <c r="C54" t="s">
        <v>66</v>
      </c>
      <c r="D54" t="str">
        <f>RIGHT(lista!$C54,4)</f>
        <v>2022</v>
      </c>
      <c r="E54" t="s">
        <v>848</v>
      </c>
      <c r="F54" s="1">
        <v>46188</v>
      </c>
      <c r="G54" s="3">
        <f>Tabela1[[#This Row],[valor_contrapartida]]+Tabela1[[#This Row],[valor_orgao]]</f>
        <v>5126875.1199999992</v>
      </c>
      <c r="H54" s="3">
        <v>512687.52</v>
      </c>
      <c r="I54" s="3">
        <v>4614187.5999999996</v>
      </c>
    </row>
    <row r="55" spans="1:9" x14ac:dyDescent="0.25">
      <c r="A55" t="s">
        <v>0</v>
      </c>
      <c r="B55" t="s">
        <v>62</v>
      </c>
      <c r="C55" t="s">
        <v>67</v>
      </c>
      <c r="D55" t="str">
        <f>RIGHT(lista!$C55,4)</f>
        <v>2022</v>
      </c>
      <c r="E55" t="s">
        <v>849</v>
      </c>
      <c r="F55" s="1">
        <v>46099</v>
      </c>
      <c r="G55" s="3">
        <f>Tabela1[[#This Row],[valor_contrapartida]]+Tabela1[[#This Row],[valor_orgao]]</f>
        <v>24796039.420000002</v>
      </c>
      <c r="H55" s="3">
        <v>3719405.92</v>
      </c>
      <c r="I55" s="3">
        <v>21076633.5</v>
      </c>
    </row>
    <row r="56" spans="1:9" x14ac:dyDescent="0.25">
      <c r="A56" t="s">
        <v>0</v>
      </c>
      <c r="B56" t="s">
        <v>62</v>
      </c>
      <c r="C56" t="s">
        <v>68</v>
      </c>
      <c r="D56" t="str">
        <f>RIGHT(lista!$C56,4)</f>
        <v>2022</v>
      </c>
      <c r="E56" t="s">
        <v>850</v>
      </c>
      <c r="F56" s="1">
        <v>45822</v>
      </c>
      <c r="G56" s="3">
        <f>Tabela1[[#This Row],[valor_contrapartida]]+Tabela1[[#This Row],[valor_orgao]]</f>
        <v>48000000</v>
      </c>
      <c r="H56" s="3">
        <v>4000000</v>
      </c>
      <c r="I56" s="3">
        <v>44000000</v>
      </c>
    </row>
    <row r="57" spans="1:9" x14ac:dyDescent="0.25">
      <c r="A57" t="s">
        <v>0</v>
      </c>
      <c r="B57" t="s">
        <v>62</v>
      </c>
      <c r="C57" t="s">
        <v>69</v>
      </c>
      <c r="D57" t="str">
        <f>RIGHT(lista!$C57,4)</f>
        <v>2022</v>
      </c>
      <c r="E57" t="s">
        <v>851</v>
      </c>
      <c r="F57" s="1">
        <v>46188</v>
      </c>
      <c r="G57" s="3">
        <f>Tabela1[[#This Row],[valor_contrapartida]]+Tabela1[[#This Row],[valor_orgao]]</f>
        <v>3273615.99</v>
      </c>
      <c r="H57" s="3">
        <v>327361.59999999998</v>
      </c>
      <c r="I57" s="3">
        <v>2946254.39</v>
      </c>
    </row>
    <row r="58" spans="1:9" x14ac:dyDescent="0.25">
      <c r="A58" t="s">
        <v>0</v>
      </c>
      <c r="B58" t="s">
        <v>62</v>
      </c>
      <c r="C58" t="s">
        <v>70</v>
      </c>
      <c r="D58" t="str">
        <f>RIGHT(lista!$C58,4)</f>
        <v>2022</v>
      </c>
      <c r="E58" t="s">
        <v>852</v>
      </c>
      <c r="F58" s="1">
        <v>46188</v>
      </c>
      <c r="G58" s="3">
        <f>Tabela1[[#This Row],[valor_contrapartida]]+Tabela1[[#This Row],[valor_orgao]]</f>
        <v>8444325.540000001</v>
      </c>
      <c r="H58" s="3">
        <v>844432.55</v>
      </c>
      <c r="I58" s="3">
        <v>7599892.9900000002</v>
      </c>
    </row>
    <row r="59" spans="1:9" x14ac:dyDescent="0.25">
      <c r="A59" t="s">
        <v>0</v>
      </c>
      <c r="B59" t="s">
        <v>62</v>
      </c>
      <c r="C59" t="s">
        <v>71</v>
      </c>
      <c r="D59" t="str">
        <f>RIGHT(lista!$C59,4)</f>
        <v>2022</v>
      </c>
      <c r="E59" t="s">
        <v>853</v>
      </c>
      <c r="F59" s="1">
        <v>46378</v>
      </c>
      <c r="G59" s="3">
        <f>Tabela1[[#This Row],[valor_contrapartida]]+Tabela1[[#This Row],[valor_orgao]]</f>
        <v>8244590.4799999995</v>
      </c>
      <c r="H59" s="3">
        <v>824459.05</v>
      </c>
      <c r="I59" s="3">
        <v>7420131.4299999997</v>
      </c>
    </row>
    <row r="60" spans="1:9" x14ac:dyDescent="0.25">
      <c r="A60" t="s">
        <v>0</v>
      </c>
      <c r="B60" t="s">
        <v>62</v>
      </c>
      <c r="C60" t="s">
        <v>72</v>
      </c>
      <c r="D60" t="str">
        <f>RIGHT(lista!$C60,4)</f>
        <v>2022</v>
      </c>
      <c r="E60" t="s">
        <v>854</v>
      </c>
      <c r="F60" s="1">
        <v>46134</v>
      </c>
      <c r="G60" s="3">
        <f>Tabela1[[#This Row],[valor_contrapartida]]+Tabela1[[#This Row],[valor_orgao]]</f>
        <v>1915000</v>
      </c>
      <c r="H60" s="3">
        <v>0</v>
      </c>
      <c r="I60" s="3">
        <v>1915000</v>
      </c>
    </row>
    <row r="61" spans="1:9" x14ac:dyDescent="0.25">
      <c r="A61" t="s">
        <v>0</v>
      </c>
      <c r="B61" t="s">
        <v>62</v>
      </c>
      <c r="C61" t="s">
        <v>73</v>
      </c>
      <c r="D61" t="str">
        <f>RIGHT(lista!$C61,4)</f>
        <v>2022</v>
      </c>
      <c r="E61" t="s">
        <v>855</v>
      </c>
      <c r="F61" s="1">
        <v>45952</v>
      </c>
      <c r="G61" s="3">
        <f>Tabela1[[#This Row],[valor_contrapartida]]+Tabela1[[#This Row],[valor_orgao]]</f>
        <v>455240</v>
      </c>
      <c r="H61" s="3">
        <v>0</v>
      </c>
      <c r="I61" s="3">
        <v>455240</v>
      </c>
    </row>
    <row r="62" spans="1:9" x14ac:dyDescent="0.25">
      <c r="A62" t="s">
        <v>0</v>
      </c>
      <c r="B62" t="s">
        <v>74</v>
      </c>
      <c r="C62" t="s">
        <v>75</v>
      </c>
      <c r="D62" t="str">
        <f>RIGHT(lista!$C62,4)</f>
        <v>2024</v>
      </c>
      <c r="E62" t="s">
        <v>856</v>
      </c>
      <c r="F62" s="1">
        <v>46201</v>
      </c>
      <c r="G62" s="3">
        <f>Tabela1[[#This Row],[valor_contrapartida]]+Tabela1[[#This Row],[valor_orgao]]</f>
        <v>460546.48</v>
      </c>
      <c r="H62" s="3">
        <v>88393.59</v>
      </c>
      <c r="I62" s="3">
        <v>372152.89</v>
      </c>
    </row>
    <row r="63" spans="1:9" x14ac:dyDescent="0.25">
      <c r="A63" t="s">
        <v>0</v>
      </c>
      <c r="B63" t="s">
        <v>74</v>
      </c>
      <c r="C63" t="s">
        <v>76</v>
      </c>
      <c r="D63" t="str">
        <f>RIGHT(lista!$C63,4)</f>
        <v>2024</v>
      </c>
      <c r="E63" t="s">
        <v>857</v>
      </c>
      <c r="F63" s="1">
        <v>46204</v>
      </c>
      <c r="G63" s="3">
        <f>Tabela1[[#This Row],[valor_contrapartida]]+Tabela1[[#This Row],[valor_orgao]]</f>
        <v>504774.75</v>
      </c>
      <c r="H63" s="3">
        <v>20190.990000000002</v>
      </c>
      <c r="I63" s="3">
        <v>484583.76</v>
      </c>
    </row>
    <row r="64" spans="1:9" x14ac:dyDescent="0.25">
      <c r="A64" t="s">
        <v>0</v>
      </c>
      <c r="B64" t="s">
        <v>77</v>
      </c>
      <c r="C64" t="s">
        <v>78</v>
      </c>
      <c r="D64" t="str">
        <f>RIGHT(lista!$C64,4)</f>
        <v>2022</v>
      </c>
      <c r="E64" t="s">
        <v>858</v>
      </c>
      <c r="F64" s="1">
        <v>46160</v>
      </c>
      <c r="G64" s="3">
        <f>Tabela1[[#This Row],[valor_contrapartida]]+Tabela1[[#This Row],[valor_orgao]]</f>
        <v>5117014.1399999997</v>
      </c>
      <c r="H64" s="3">
        <v>255850.71</v>
      </c>
      <c r="I64" s="3">
        <v>4861163.43</v>
      </c>
    </row>
    <row r="65" spans="1:9" x14ac:dyDescent="0.25">
      <c r="A65" t="s">
        <v>0</v>
      </c>
      <c r="B65" t="s">
        <v>77</v>
      </c>
      <c r="C65" t="s">
        <v>79</v>
      </c>
      <c r="D65" t="str">
        <f>RIGHT(lista!$C65,4)</f>
        <v>2022</v>
      </c>
      <c r="E65" t="s">
        <v>859</v>
      </c>
      <c r="F65" s="1">
        <v>46161</v>
      </c>
      <c r="G65" s="3">
        <f>Tabela1[[#This Row],[valor_contrapartida]]+Tabela1[[#This Row],[valor_orgao]]</f>
        <v>3148370.8</v>
      </c>
      <c r="H65" s="3">
        <v>648370.80000000005</v>
      </c>
      <c r="I65" s="3">
        <v>2500000</v>
      </c>
    </row>
    <row r="66" spans="1:9" x14ac:dyDescent="0.25">
      <c r="A66" t="s">
        <v>0</v>
      </c>
      <c r="B66" t="s">
        <v>77</v>
      </c>
      <c r="C66" t="s">
        <v>80</v>
      </c>
      <c r="D66" t="str">
        <f>RIGHT(lista!$C66,4)</f>
        <v>2022</v>
      </c>
      <c r="E66" t="s">
        <v>860</v>
      </c>
      <c r="F66" s="1">
        <v>46169</v>
      </c>
      <c r="G66" s="3">
        <f>Tabela1[[#This Row],[valor_contrapartida]]+Tabela1[[#This Row],[valor_orgao]]</f>
        <v>8802445.0500000007</v>
      </c>
      <c r="H66" s="3">
        <v>440122.25</v>
      </c>
      <c r="I66" s="3">
        <v>8362322.7999999998</v>
      </c>
    </row>
    <row r="67" spans="1:9" x14ac:dyDescent="0.25">
      <c r="A67" t="s">
        <v>0</v>
      </c>
      <c r="B67" t="s">
        <v>77</v>
      </c>
      <c r="C67" t="s">
        <v>81</v>
      </c>
      <c r="D67" t="str">
        <f>RIGHT(lista!$C67,4)</f>
        <v>2022</v>
      </c>
      <c r="E67" t="s">
        <v>861</v>
      </c>
      <c r="F67" s="1">
        <v>46197</v>
      </c>
      <c r="G67" s="3">
        <f>Tabela1[[#This Row],[valor_contrapartida]]+Tabela1[[#This Row],[valor_orgao]]</f>
        <v>2005071.7</v>
      </c>
      <c r="H67" s="3">
        <v>505071.7</v>
      </c>
      <c r="I67" s="3">
        <v>1500000</v>
      </c>
    </row>
    <row r="68" spans="1:9" x14ac:dyDescent="0.25">
      <c r="A68" t="s">
        <v>0</v>
      </c>
      <c r="B68" t="s">
        <v>77</v>
      </c>
      <c r="C68" t="s">
        <v>82</v>
      </c>
      <c r="D68" t="str">
        <f>RIGHT(lista!$C68,4)</f>
        <v>2022</v>
      </c>
      <c r="E68" t="s">
        <v>862</v>
      </c>
      <c r="F68" s="1">
        <v>45413</v>
      </c>
      <c r="G68" s="3">
        <f>Tabela1[[#This Row],[valor_contrapartida]]+Tabela1[[#This Row],[valor_orgao]]</f>
        <v>429059.91</v>
      </c>
      <c r="H68" s="3">
        <v>29059.91</v>
      </c>
      <c r="I68" s="3">
        <v>400000</v>
      </c>
    </row>
    <row r="69" spans="1:9" x14ac:dyDescent="0.25">
      <c r="A69" t="s">
        <v>0</v>
      </c>
      <c r="B69" t="s">
        <v>83</v>
      </c>
      <c r="C69" t="s">
        <v>84</v>
      </c>
      <c r="D69" t="str">
        <f>RIGHT(lista!$C69,4)</f>
        <v>2022</v>
      </c>
      <c r="E69" t="s">
        <v>863</v>
      </c>
      <c r="F69" s="1">
        <v>45473</v>
      </c>
      <c r="G69" s="3">
        <f>Tabela1[[#This Row],[valor_contrapartida]]+Tabela1[[#This Row],[valor_orgao]]</f>
        <v>300755.94</v>
      </c>
      <c r="H69" s="3">
        <v>12030.24</v>
      </c>
      <c r="I69" s="3">
        <v>288725.7</v>
      </c>
    </row>
    <row r="70" spans="1:9" x14ac:dyDescent="0.25">
      <c r="A70" t="s">
        <v>0</v>
      </c>
      <c r="B70" t="s">
        <v>85</v>
      </c>
      <c r="C70" t="s">
        <v>86</v>
      </c>
      <c r="D70" t="str">
        <f>RIGHT(lista!$C70,4)</f>
        <v>2022</v>
      </c>
      <c r="E70" t="s">
        <v>864</v>
      </c>
      <c r="F70" s="1">
        <v>46197</v>
      </c>
      <c r="G70" s="3">
        <f>Tabela1[[#This Row],[valor_contrapartida]]+Tabela1[[#This Row],[valor_orgao]]</f>
        <v>1811966.4000000001</v>
      </c>
      <c r="H70" s="3">
        <v>277096.33</v>
      </c>
      <c r="I70" s="3">
        <v>1534870.07</v>
      </c>
    </row>
    <row r="71" spans="1:9" x14ac:dyDescent="0.25">
      <c r="A71" t="s">
        <v>0</v>
      </c>
      <c r="B71" t="s">
        <v>87</v>
      </c>
      <c r="C71" t="s">
        <v>88</v>
      </c>
      <c r="D71" t="str">
        <f>RIGHT(lista!$C71,4)</f>
        <v>2021</v>
      </c>
      <c r="E71" t="s">
        <v>865</v>
      </c>
      <c r="F71" s="1">
        <v>46055</v>
      </c>
      <c r="G71" s="3">
        <f>Tabela1[[#This Row],[valor_contrapartida]]+Tabela1[[#This Row],[valor_orgao]]</f>
        <v>5607313.0700000003</v>
      </c>
      <c r="H71" s="3">
        <v>842313.07</v>
      </c>
      <c r="I71" s="3">
        <v>4765000</v>
      </c>
    </row>
    <row r="72" spans="1:9" x14ac:dyDescent="0.25">
      <c r="A72" t="s">
        <v>0</v>
      </c>
      <c r="B72" t="s">
        <v>87</v>
      </c>
      <c r="C72" t="s">
        <v>89</v>
      </c>
      <c r="D72" t="str">
        <f>RIGHT(lista!$C72,4)</f>
        <v>2021</v>
      </c>
      <c r="E72" t="s">
        <v>866</v>
      </c>
      <c r="F72" s="1">
        <v>46345</v>
      </c>
      <c r="G72" s="3">
        <f>Tabela1[[#This Row],[valor_contrapartida]]+Tabela1[[#This Row],[valor_orgao]]</f>
        <v>13900546.460000001</v>
      </c>
      <c r="H72" s="3">
        <v>2137546.46</v>
      </c>
      <c r="I72" s="3">
        <v>11763000</v>
      </c>
    </row>
    <row r="73" spans="1:9" x14ac:dyDescent="0.25">
      <c r="A73" t="s">
        <v>0</v>
      </c>
      <c r="B73" t="s">
        <v>87</v>
      </c>
      <c r="C73" t="s">
        <v>90</v>
      </c>
      <c r="D73" t="str">
        <f>RIGHT(lista!$C73,4)</f>
        <v>2022</v>
      </c>
      <c r="E73" t="s">
        <v>867</v>
      </c>
      <c r="F73" s="1">
        <v>45472</v>
      </c>
      <c r="G73" s="3">
        <f>Tabela1[[#This Row],[valor_contrapartida]]+Tabela1[[#This Row],[valor_orgao]]</f>
        <v>369662.92</v>
      </c>
      <c r="H73" s="3">
        <v>69662.92</v>
      </c>
      <c r="I73" s="3">
        <v>300000</v>
      </c>
    </row>
    <row r="74" spans="1:9" x14ac:dyDescent="0.25">
      <c r="A74" t="s">
        <v>0</v>
      </c>
      <c r="B74" t="s">
        <v>87</v>
      </c>
      <c r="C74" t="s">
        <v>91</v>
      </c>
      <c r="D74" t="str">
        <f>RIGHT(lista!$C74,4)</f>
        <v>2025</v>
      </c>
      <c r="E74" t="s">
        <v>868</v>
      </c>
      <c r="F74" s="1">
        <v>46123</v>
      </c>
      <c r="G74" s="3">
        <f>Tabela1[[#This Row],[valor_contrapartida]]+Tabela1[[#This Row],[valor_orgao]]</f>
        <v>508062.28</v>
      </c>
      <c r="H74" s="3">
        <v>108062.28</v>
      </c>
      <c r="I74" s="3">
        <v>400000</v>
      </c>
    </row>
    <row r="75" spans="1:9" x14ac:dyDescent="0.25">
      <c r="A75" t="s">
        <v>0</v>
      </c>
      <c r="B75" t="s">
        <v>87</v>
      </c>
      <c r="C75" t="s">
        <v>92</v>
      </c>
      <c r="D75" t="str">
        <f>RIGHT(lista!$C75,4)</f>
        <v>2025</v>
      </c>
      <c r="E75" t="s">
        <v>869</v>
      </c>
      <c r="F75" s="1">
        <v>45940</v>
      </c>
      <c r="G75" s="3">
        <f>Tabela1[[#This Row],[valor_contrapartida]]+Tabela1[[#This Row],[valor_orgao]]</f>
        <v>1156823.1200000001</v>
      </c>
      <c r="H75" s="3">
        <v>306823.12</v>
      </c>
      <c r="I75" s="3">
        <v>850000</v>
      </c>
    </row>
    <row r="76" spans="1:9" x14ac:dyDescent="0.25">
      <c r="A76" t="s">
        <v>0</v>
      </c>
      <c r="B76" t="s">
        <v>93</v>
      </c>
      <c r="C76" t="s">
        <v>94</v>
      </c>
      <c r="D76" t="str">
        <f>RIGHT(lista!$C76,4)</f>
        <v>2022</v>
      </c>
      <c r="E76" t="s">
        <v>870</v>
      </c>
      <c r="F76" s="1">
        <v>46104</v>
      </c>
      <c r="G76" s="3">
        <f>Tabela1[[#This Row],[valor_contrapartida]]+Tabela1[[#This Row],[valor_orgao]]</f>
        <v>491506.44</v>
      </c>
      <c r="H76" s="3">
        <v>49150.64</v>
      </c>
      <c r="I76" s="3">
        <v>442355.8</v>
      </c>
    </row>
    <row r="77" spans="1:9" x14ac:dyDescent="0.25">
      <c r="A77" t="s">
        <v>0</v>
      </c>
      <c r="B77" t="s">
        <v>93</v>
      </c>
      <c r="C77" t="s">
        <v>95</v>
      </c>
      <c r="D77" t="str">
        <f>RIGHT(lista!$C77,4)</f>
        <v>2022</v>
      </c>
      <c r="E77" t="s">
        <v>871</v>
      </c>
      <c r="F77" s="1">
        <v>46204</v>
      </c>
      <c r="G77" s="3">
        <f>Tabela1[[#This Row],[valor_contrapartida]]+Tabela1[[#This Row],[valor_orgao]]</f>
        <v>500830.5</v>
      </c>
      <c r="H77" s="3">
        <v>20033.22</v>
      </c>
      <c r="I77" s="3">
        <v>480797.28</v>
      </c>
    </row>
    <row r="78" spans="1:9" x14ac:dyDescent="0.25">
      <c r="A78" t="s">
        <v>0</v>
      </c>
      <c r="B78" t="s">
        <v>96</v>
      </c>
      <c r="C78" t="s">
        <v>97</v>
      </c>
      <c r="D78" t="str">
        <f>RIGHT(lista!$C78,4)</f>
        <v>2022</v>
      </c>
      <c r="E78" t="s">
        <v>872</v>
      </c>
      <c r="F78" s="1">
        <v>46015</v>
      </c>
      <c r="G78" s="3">
        <f>Tabela1[[#This Row],[valor_contrapartida]]+Tabela1[[#This Row],[valor_orgao]]</f>
        <v>2192784.89</v>
      </c>
      <c r="H78" s="3">
        <v>87711.4</v>
      </c>
      <c r="I78" s="3">
        <v>2105073.4900000002</v>
      </c>
    </row>
    <row r="79" spans="1:9" x14ac:dyDescent="0.25">
      <c r="A79" t="s">
        <v>0</v>
      </c>
      <c r="B79" t="s">
        <v>98</v>
      </c>
      <c r="C79" t="s">
        <v>444</v>
      </c>
      <c r="D79" t="str">
        <f>RIGHT(lista!$C79,4)</f>
        <v>2021</v>
      </c>
      <c r="E79" t="s">
        <v>873</v>
      </c>
      <c r="F79" s="1">
        <v>45803</v>
      </c>
      <c r="G79" s="3">
        <f>Tabela1[[#This Row],[valor_contrapartida]]+Tabela1[[#This Row],[valor_orgao]]</f>
        <v>191905.36</v>
      </c>
      <c r="H79" s="3">
        <v>11905.36</v>
      </c>
      <c r="I79" s="3">
        <v>180000</v>
      </c>
    </row>
    <row r="80" spans="1:9" x14ac:dyDescent="0.25">
      <c r="A80" t="s">
        <v>0</v>
      </c>
      <c r="B80" t="s">
        <v>98</v>
      </c>
      <c r="C80" t="s">
        <v>99</v>
      </c>
      <c r="D80" t="str">
        <f>RIGHT(lista!$C80,4)</f>
        <v>2021</v>
      </c>
      <c r="E80" t="s">
        <v>874</v>
      </c>
      <c r="F80" s="1">
        <v>45668</v>
      </c>
      <c r="G80" s="3">
        <f>Tabela1[[#This Row],[valor_contrapartida]]+Tabela1[[#This Row],[valor_orgao]]</f>
        <v>397059.19</v>
      </c>
      <c r="H80" s="3">
        <v>97059.19</v>
      </c>
      <c r="I80" s="3">
        <v>300000</v>
      </c>
    </row>
    <row r="81" spans="1:9" x14ac:dyDescent="0.25">
      <c r="A81" t="s">
        <v>0</v>
      </c>
      <c r="B81" t="s">
        <v>98</v>
      </c>
      <c r="C81" t="s">
        <v>443</v>
      </c>
      <c r="D81" t="str">
        <f>RIGHT(lista!$C81,4)</f>
        <v>2021</v>
      </c>
      <c r="E81" t="s">
        <v>875</v>
      </c>
      <c r="F81" s="1">
        <v>46220</v>
      </c>
      <c r="G81" s="3">
        <f>Tabela1[[#This Row],[valor_contrapartida]]+Tabela1[[#This Row],[valor_orgao]]</f>
        <v>4521068.82</v>
      </c>
      <c r="H81" s="3">
        <v>226053.44</v>
      </c>
      <c r="I81" s="3">
        <v>4295015.38</v>
      </c>
    </row>
    <row r="82" spans="1:9" x14ac:dyDescent="0.25">
      <c r="A82" t="s">
        <v>0</v>
      </c>
      <c r="B82" t="s">
        <v>98</v>
      </c>
      <c r="C82" t="s">
        <v>100</v>
      </c>
      <c r="D82" t="str">
        <f>RIGHT(lista!$C82,4)</f>
        <v>2022</v>
      </c>
      <c r="E82" t="s">
        <v>876</v>
      </c>
      <c r="F82" s="1">
        <v>45450</v>
      </c>
      <c r="G82" s="3">
        <f>Tabela1[[#This Row],[valor_contrapartida]]+Tabela1[[#This Row],[valor_orgao]]</f>
        <v>267829.52</v>
      </c>
      <c r="H82" s="3">
        <v>17829.52</v>
      </c>
      <c r="I82" s="3">
        <v>250000</v>
      </c>
    </row>
    <row r="83" spans="1:9" x14ac:dyDescent="0.25">
      <c r="A83" t="s">
        <v>0</v>
      </c>
      <c r="B83" t="s">
        <v>98</v>
      </c>
      <c r="C83" t="s">
        <v>101</v>
      </c>
      <c r="D83" t="str">
        <f>RIGHT(lista!$C83,4)</f>
        <v>2022</v>
      </c>
      <c r="E83" t="s">
        <v>877</v>
      </c>
      <c r="F83" s="1">
        <v>45472</v>
      </c>
      <c r="G83" s="3">
        <f>Tabela1[[#This Row],[valor_contrapartida]]+Tabela1[[#This Row],[valor_orgao]]</f>
        <v>373509.11</v>
      </c>
      <c r="H83" s="3">
        <v>73509.11</v>
      </c>
      <c r="I83" s="3">
        <v>300000</v>
      </c>
    </row>
    <row r="84" spans="1:9" x14ac:dyDescent="0.25">
      <c r="A84" t="s">
        <v>0</v>
      </c>
      <c r="B84" t="s">
        <v>98</v>
      </c>
      <c r="C84" t="s">
        <v>102</v>
      </c>
      <c r="D84" t="str">
        <f>RIGHT(lista!$C84,4)</f>
        <v>2022</v>
      </c>
      <c r="E84" t="s">
        <v>878</v>
      </c>
      <c r="F84" s="1">
        <v>45658</v>
      </c>
      <c r="G84" s="3">
        <f>Tabela1[[#This Row],[valor_contrapartida]]+Tabela1[[#This Row],[valor_orgao]]</f>
        <v>240818.09</v>
      </c>
      <c r="H84" s="3">
        <v>40818.089999999997</v>
      </c>
      <c r="I84" s="3">
        <v>200000</v>
      </c>
    </row>
    <row r="85" spans="1:9" x14ac:dyDescent="0.25">
      <c r="A85" t="s">
        <v>0</v>
      </c>
      <c r="B85" t="s">
        <v>98</v>
      </c>
      <c r="C85" t="s">
        <v>103</v>
      </c>
      <c r="D85" t="str">
        <f>RIGHT(lista!$C85,4)</f>
        <v>2024</v>
      </c>
      <c r="E85" t="s">
        <v>879</v>
      </c>
      <c r="F85" s="1">
        <v>46170</v>
      </c>
      <c r="G85" s="3">
        <f>Tabela1[[#This Row],[valor_contrapartida]]+Tabela1[[#This Row],[valor_orgao]]</f>
        <v>1055733.8999999999</v>
      </c>
      <c r="H85" s="3">
        <v>55733.9</v>
      </c>
      <c r="I85" s="3">
        <v>1000000</v>
      </c>
    </row>
    <row r="86" spans="1:9" x14ac:dyDescent="0.25">
      <c r="A86" t="s">
        <v>0</v>
      </c>
      <c r="B86" t="s">
        <v>98</v>
      </c>
      <c r="C86" t="s">
        <v>104</v>
      </c>
      <c r="D86" t="str">
        <f>RIGHT(lista!$C86,4)</f>
        <v>2024</v>
      </c>
      <c r="E86" t="s">
        <v>880</v>
      </c>
      <c r="F86" s="1">
        <v>45806</v>
      </c>
      <c r="G86" s="3">
        <f>Tabela1[[#This Row],[valor_contrapartida]]+Tabela1[[#This Row],[valor_orgao]]</f>
        <v>289121.62</v>
      </c>
      <c r="H86" s="3">
        <v>39121.620000000003</v>
      </c>
      <c r="I86" s="3">
        <v>250000</v>
      </c>
    </row>
    <row r="87" spans="1:9" x14ac:dyDescent="0.25">
      <c r="A87" t="s">
        <v>0</v>
      </c>
      <c r="B87" t="s">
        <v>98</v>
      </c>
      <c r="C87" t="s">
        <v>392</v>
      </c>
      <c r="D87" t="str">
        <f>RIGHT(lista!$C87,4)</f>
        <v>2024</v>
      </c>
      <c r="E87" t="s">
        <v>881</v>
      </c>
      <c r="F87" s="1">
        <v>46176</v>
      </c>
      <c r="G87" s="3">
        <f>Tabela1[[#This Row],[valor_contrapartida]]+Tabela1[[#This Row],[valor_orgao]]</f>
        <v>1082809.23</v>
      </c>
      <c r="H87" s="3">
        <v>82809.23</v>
      </c>
      <c r="I87" s="3">
        <v>1000000</v>
      </c>
    </row>
    <row r="88" spans="1:9" x14ac:dyDescent="0.25">
      <c r="A88" t="s">
        <v>0</v>
      </c>
      <c r="B88" t="s">
        <v>98</v>
      </c>
      <c r="C88" t="s">
        <v>105</v>
      </c>
      <c r="D88" t="str">
        <f>RIGHT(lista!$C88,4)</f>
        <v>2024</v>
      </c>
      <c r="E88" t="s">
        <v>882</v>
      </c>
      <c r="F88" s="1">
        <v>45827</v>
      </c>
      <c r="G88" s="3">
        <f>Tabela1[[#This Row],[valor_contrapartida]]+Tabela1[[#This Row],[valor_orgao]]</f>
        <v>2107630.1</v>
      </c>
      <c r="H88" s="3">
        <v>2006164.2</v>
      </c>
      <c r="I88" s="3">
        <v>101465.9</v>
      </c>
    </row>
    <row r="89" spans="1:9" x14ac:dyDescent="0.25">
      <c r="A89" t="s">
        <v>0</v>
      </c>
      <c r="B89" t="s">
        <v>98</v>
      </c>
      <c r="C89" t="s">
        <v>106</v>
      </c>
      <c r="D89" t="str">
        <f>RIGHT(lista!$C89,4)</f>
        <v>2025</v>
      </c>
      <c r="E89" t="s">
        <v>883</v>
      </c>
      <c r="F89" s="1">
        <v>46385</v>
      </c>
      <c r="G89" s="3">
        <f>Tabela1[[#This Row],[valor_contrapartida]]+Tabela1[[#This Row],[valor_orgao]]</f>
        <v>254473.99</v>
      </c>
      <c r="H89" s="3">
        <v>74473.990000000005</v>
      </c>
      <c r="I89" s="3">
        <v>180000</v>
      </c>
    </row>
    <row r="90" spans="1:9" x14ac:dyDescent="0.25">
      <c r="A90" t="s">
        <v>0</v>
      </c>
      <c r="B90" t="s">
        <v>98</v>
      </c>
      <c r="C90" t="s">
        <v>394</v>
      </c>
      <c r="D90" t="str">
        <f>RIGHT(lista!$C90,4)</f>
        <v>2026</v>
      </c>
      <c r="E90" t="s">
        <v>884</v>
      </c>
      <c r="F90" s="1">
        <v>46410</v>
      </c>
      <c r="G90" s="3">
        <f>Tabela1[[#This Row],[valor_contrapartida]]+Tabela1[[#This Row],[valor_orgao]]</f>
        <v>1288866.47</v>
      </c>
      <c r="H90" s="3">
        <v>64443.32</v>
      </c>
      <c r="I90" s="3">
        <v>1224423.1499999999</v>
      </c>
    </row>
    <row r="91" spans="1:9" x14ac:dyDescent="0.25">
      <c r="A91" t="s">
        <v>0</v>
      </c>
      <c r="B91" t="s">
        <v>98</v>
      </c>
      <c r="C91" t="s">
        <v>393</v>
      </c>
      <c r="D91" t="str">
        <f>RIGHT(lista!$C91,4)</f>
        <v>2026</v>
      </c>
      <c r="E91" t="s">
        <v>885</v>
      </c>
      <c r="F91" s="1">
        <v>46045</v>
      </c>
      <c r="G91" s="3">
        <f>Tabela1[[#This Row],[valor_contrapartida]]+Tabela1[[#This Row],[valor_orgao]]</f>
        <v>1745369.15</v>
      </c>
      <c r="H91" s="3">
        <v>545369.15</v>
      </c>
      <c r="I91" s="3">
        <v>1200000</v>
      </c>
    </row>
    <row r="92" spans="1:9" x14ac:dyDescent="0.25">
      <c r="A92" t="s">
        <v>0</v>
      </c>
      <c r="B92" t="s">
        <v>107</v>
      </c>
      <c r="C92" t="s">
        <v>442</v>
      </c>
      <c r="D92" t="str">
        <f>RIGHT(lista!$C92,4)</f>
        <v>2022</v>
      </c>
      <c r="E92" t="s">
        <v>886</v>
      </c>
      <c r="F92" s="1">
        <v>45425</v>
      </c>
      <c r="G92" s="3">
        <f>Tabela1[[#This Row],[valor_contrapartida]]+Tabela1[[#This Row],[valor_orgao]]</f>
        <v>531797.30000000005</v>
      </c>
      <c r="H92" s="3">
        <v>171813.27</v>
      </c>
      <c r="I92" s="3">
        <v>359984.03</v>
      </c>
    </row>
    <row r="93" spans="1:9" x14ac:dyDescent="0.25">
      <c r="A93" t="s">
        <v>0</v>
      </c>
      <c r="B93" t="s">
        <v>107</v>
      </c>
      <c r="C93" t="s">
        <v>108</v>
      </c>
      <c r="D93" t="str">
        <f>RIGHT(lista!$C93,4)</f>
        <v>2022</v>
      </c>
      <c r="E93" t="s">
        <v>887</v>
      </c>
      <c r="F93" s="1">
        <v>45425</v>
      </c>
      <c r="G93" s="3">
        <f>Tabela1[[#This Row],[valor_contrapartida]]+Tabela1[[#This Row],[valor_orgao]]</f>
        <v>531797.30000000005</v>
      </c>
      <c r="H93" s="3">
        <v>171813.27</v>
      </c>
      <c r="I93" s="3">
        <v>359984.03</v>
      </c>
    </row>
    <row r="94" spans="1:9" x14ac:dyDescent="0.25">
      <c r="A94" t="s">
        <v>0</v>
      </c>
      <c r="B94" t="s">
        <v>107</v>
      </c>
      <c r="C94" t="s">
        <v>109</v>
      </c>
      <c r="D94" t="str">
        <f>RIGHT(lista!$C94,4)</f>
        <v>2022</v>
      </c>
      <c r="E94" t="s">
        <v>888</v>
      </c>
      <c r="F94" s="1">
        <v>45839</v>
      </c>
      <c r="G94" s="3">
        <f>Tabela1[[#This Row],[valor_contrapartida]]+Tabela1[[#This Row],[valor_orgao]]</f>
        <v>4459072.87</v>
      </c>
      <c r="H94" s="3">
        <v>459072.87</v>
      </c>
      <c r="I94" s="3">
        <v>4000000</v>
      </c>
    </row>
    <row r="95" spans="1:9" x14ac:dyDescent="0.25">
      <c r="A95" t="s">
        <v>0</v>
      </c>
      <c r="B95" t="s">
        <v>107</v>
      </c>
      <c r="C95" t="s">
        <v>110</v>
      </c>
      <c r="D95" t="str">
        <f>RIGHT(lista!$C95,4)</f>
        <v>2024</v>
      </c>
      <c r="E95" t="s">
        <v>889</v>
      </c>
      <c r="F95" s="1">
        <v>45839</v>
      </c>
      <c r="G95" s="3">
        <f>Tabela1[[#This Row],[valor_contrapartida]]+Tabela1[[#This Row],[valor_orgao]]</f>
        <v>3083511.37</v>
      </c>
      <c r="H95" s="3">
        <v>728511.37</v>
      </c>
      <c r="I95" s="3">
        <v>2355000</v>
      </c>
    </row>
    <row r="96" spans="1:9" x14ac:dyDescent="0.25">
      <c r="A96" t="s">
        <v>0</v>
      </c>
      <c r="B96" t="s">
        <v>107</v>
      </c>
      <c r="C96" t="s">
        <v>111</v>
      </c>
      <c r="D96" t="str">
        <f>RIGHT(lista!$C96,4)</f>
        <v>2024</v>
      </c>
      <c r="E96" t="s">
        <v>890</v>
      </c>
      <c r="F96" s="1">
        <v>46027</v>
      </c>
      <c r="G96" s="3">
        <f>Tabela1[[#This Row],[valor_contrapartida]]+Tabela1[[#This Row],[valor_orgao]]</f>
        <v>10244496.049999999</v>
      </c>
      <c r="H96" s="3">
        <v>1024449.6</v>
      </c>
      <c r="I96" s="3">
        <v>9220046.4499999993</v>
      </c>
    </row>
    <row r="97" spans="1:9" x14ac:dyDescent="0.25">
      <c r="A97" t="s">
        <v>0</v>
      </c>
      <c r="B97" t="s">
        <v>112</v>
      </c>
      <c r="C97" t="s">
        <v>113</v>
      </c>
      <c r="D97" t="str">
        <f>RIGHT(lista!$C97,4)</f>
        <v>2022</v>
      </c>
      <c r="E97" t="s">
        <v>891</v>
      </c>
      <c r="F97" s="1">
        <v>46204</v>
      </c>
      <c r="G97" s="3">
        <f>Tabela1[[#This Row],[valor_contrapartida]]+Tabela1[[#This Row],[valor_orgao]]</f>
        <v>2507474.84</v>
      </c>
      <c r="H97" s="3">
        <v>261090.05</v>
      </c>
      <c r="I97" s="3">
        <v>2246384.79</v>
      </c>
    </row>
    <row r="98" spans="1:9" x14ac:dyDescent="0.25">
      <c r="A98" t="s">
        <v>0</v>
      </c>
      <c r="B98" t="s">
        <v>428</v>
      </c>
      <c r="C98" t="s">
        <v>395</v>
      </c>
      <c r="D98" t="str">
        <f>RIGHT(lista!$C98,4)</f>
        <v>2022</v>
      </c>
      <c r="E98" t="s">
        <v>892</v>
      </c>
      <c r="F98" s="1">
        <v>46204</v>
      </c>
      <c r="G98" s="3">
        <f>Tabela1[[#This Row],[valor_contrapartida]]+Tabela1[[#This Row],[valor_orgao]]</f>
        <v>9700396.0199999996</v>
      </c>
      <c r="H98" s="3">
        <v>388015.84</v>
      </c>
      <c r="I98" s="3">
        <v>9312380.1799999997</v>
      </c>
    </row>
    <row r="99" spans="1:9" x14ac:dyDescent="0.25">
      <c r="A99" t="s">
        <v>0</v>
      </c>
      <c r="B99" t="s">
        <v>114</v>
      </c>
      <c r="C99" t="s">
        <v>115</v>
      </c>
      <c r="D99" t="str">
        <f>RIGHT(lista!$C99,4)</f>
        <v>2022</v>
      </c>
      <c r="E99" t="s">
        <v>893</v>
      </c>
      <c r="F99" s="1">
        <v>46195</v>
      </c>
      <c r="G99" s="3">
        <f>Tabela1[[#This Row],[valor_contrapartida]]+Tabela1[[#This Row],[valor_orgao]]</f>
        <v>3913563.4499999997</v>
      </c>
      <c r="H99" s="3">
        <v>156542.53</v>
      </c>
      <c r="I99" s="3">
        <v>3757020.92</v>
      </c>
    </row>
    <row r="100" spans="1:9" x14ac:dyDescent="0.25">
      <c r="A100" t="s">
        <v>0</v>
      </c>
      <c r="B100" t="s">
        <v>114</v>
      </c>
      <c r="C100" t="s">
        <v>116</v>
      </c>
      <c r="D100" t="str">
        <f>RIGHT(lista!$C100,4)</f>
        <v>2024</v>
      </c>
      <c r="E100" t="s">
        <v>894</v>
      </c>
      <c r="F100" s="1">
        <v>46115</v>
      </c>
      <c r="G100" s="3">
        <f>Tabela1[[#This Row],[valor_contrapartida]]+Tabela1[[#This Row],[valor_orgao]]</f>
        <v>798961.37</v>
      </c>
      <c r="H100" s="3">
        <v>31958.45</v>
      </c>
      <c r="I100" s="3">
        <v>767002.92</v>
      </c>
    </row>
    <row r="101" spans="1:9" x14ac:dyDescent="0.25">
      <c r="A101" t="s">
        <v>0</v>
      </c>
      <c r="B101" t="s">
        <v>114</v>
      </c>
      <c r="C101" t="s">
        <v>396</v>
      </c>
      <c r="D101" t="str">
        <f>RIGHT(lista!$C101,4)</f>
        <v>2022</v>
      </c>
      <c r="E101" t="s">
        <v>895</v>
      </c>
      <c r="F101" s="1">
        <v>46050</v>
      </c>
      <c r="G101" s="3">
        <f>Tabela1[[#This Row],[valor_contrapartida]]+Tabela1[[#This Row],[valor_orgao]]</f>
        <v>1739369.35</v>
      </c>
      <c r="H101" s="3">
        <v>69574.77</v>
      </c>
      <c r="I101" s="3">
        <v>1669794.58</v>
      </c>
    </row>
    <row r="102" spans="1:9" x14ac:dyDescent="0.25">
      <c r="A102" t="s">
        <v>0</v>
      </c>
      <c r="B102" t="s">
        <v>437</v>
      </c>
      <c r="C102" t="s">
        <v>438</v>
      </c>
      <c r="D102" t="str">
        <f>RIGHT(lista!$C102,4)</f>
        <v>2022</v>
      </c>
      <c r="E102" t="s">
        <v>896</v>
      </c>
      <c r="F102" s="1">
        <v>46204</v>
      </c>
      <c r="G102" s="3">
        <f>Tabela1[[#This Row],[valor_contrapartida]]+Tabela1[[#This Row],[valor_orgao]]</f>
        <v>629034.28999999992</v>
      </c>
      <c r="H102" s="3">
        <v>31451.71</v>
      </c>
      <c r="I102" s="3">
        <v>597582.57999999996</v>
      </c>
    </row>
    <row r="103" spans="1:9" x14ac:dyDescent="0.25">
      <c r="A103" t="s">
        <v>0</v>
      </c>
      <c r="B103" t="s">
        <v>437</v>
      </c>
      <c r="C103" t="s">
        <v>439</v>
      </c>
      <c r="D103" t="str">
        <f>RIGHT(lista!$C103,4)</f>
        <v>2022</v>
      </c>
      <c r="E103" t="s">
        <v>897</v>
      </c>
      <c r="F103" s="1">
        <v>45834</v>
      </c>
      <c r="G103" s="3">
        <f>Tabela1[[#This Row],[valor_contrapartida]]+Tabela1[[#This Row],[valor_orgao]]</f>
        <v>650374</v>
      </c>
      <c r="H103" s="3">
        <v>150374</v>
      </c>
      <c r="I103" s="3">
        <v>500000</v>
      </c>
    </row>
    <row r="104" spans="1:9" x14ac:dyDescent="0.25">
      <c r="A104" t="s">
        <v>0</v>
      </c>
      <c r="B104" t="s">
        <v>437</v>
      </c>
      <c r="C104" t="s">
        <v>440</v>
      </c>
      <c r="D104" t="str">
        <f>RIGHT(lista!$C104,4)</f>
        <v>2022</v>
      </c>
      <c r="E104" t="s">
        <v>898</v>
      </c>
      <c r="F104" s="1">
        <v>46001</v>
      </c>
      <c r="G104" s="3">
        <f>Tabela1[[#This Row],[valor_contrapartida]]+Tabela1[[#This Row],[valor_orgao]]</f>
        <v>2972257.38</v>
      </c>
      <c r="H104" s="3">
        <v>472257.38</v>
      </c>
      <c r="I104" s="3">
        <v>2500000</v>
      </c>
    </row>
    <row r="105" spans="1:9" x14ac:dyDescent="0.25">
      <c r="A105" t="s">
        <v>0</v>
      </c>
      <c r="B105" t="s">
        <v>437</v>
      </c>
      <c r="C105" t="s">
        <v>441</v>
      </c>
      <c r="D105" t="str">
        <f>RIGHT(lista!$C105,4)</f>
        <v>2022</v>
      </c>
      <c r="E105" t="s">
        <v>899</v>
      </c>
      <c r="F105" s="1">
        <v>46153</v>
      </c>
      <c r="G105" s="3">
        <f>Tabela1[[#This Row],[valor_contrapartida]]+Tabela1[[#This Row],[valor_orgao]]</f>
        <v>655050.88</v>
      </c>
      <c r="H105" s="3">
        <v>55050.879999999997</v>
      </c>
      <c r="I105" s="3">
        <v>600000</v>
      </c>
    </row>
    <row r="106" spans="1:9" x14ac:dyDescent="0.25">
      <c r="A106" t="s">
        <v>0</v>
      </c>
      <c r="B106" t="s">
        <v>117</v>
      </c>
      <c r="C106" t="s">
        <v>118</v>
      </c>
      <c r="D106" t="str">
        <f>RIGHT(lista!$C106,4)</f>
        <v>2018</v>
      </c>
      <c r="E106" t="s">
        <v>900</v>
      </c>
      <c r="F106" s="1">
        <v>46161</v>
      </c>
      <c r="G106" s="3">
        <f>Tabela1[[#This Row],[valor_contrapartida]]+Tabela1[[#This Row],[valor_orgao]]</f>
        <v>3567292.38</v>
      </c>
      <c r="H106" s="3">
        <v>535093.98</v>
      </c>
      <c r="I106" s="3">
        <v>3032198.4</v>
      </c>
    </row>
    <row r="107" spans="1:9" x14ac:dyDescent="0.25">
      <c r="A107" t="s">
        <v>0</v>
      </c>
      <c r="B107" t="s">
        <v>117</v>
      </c>
      <c r="C107" t="s">
        <v>119</v>
      </c>
      <c r="D107" t="str">
        <f>RIGHT(lista!$C107,4)</f>
        <v>2018</v>
      </c>
      <c r="E107" t="s">
        <v>901</v>
      </c>
      <c r="F107" s="1">
        <v>44985</v>
      </c>
      <c r="G107" s="3">
        <f>Tabela1[[#This Row],[valor_contrapartida]]+Tabela1[[#This Row],[valor_orgao]]</f>
        <v>2332723.56</v>
      </c>
      <c r="H107" s="3">
        <v>332723.56</v>
      </c>
      <c r="I107" s="3">
        <v>2000000</v>
      </c>
    </row>
    <row r="108" spans="1:9" x14ac:dyDescent="0.25">
      <c r="A108" t="s">
        <v>0</v>
      </c>
      <c r="B108" t="s">
        <v>117</v>
      </c>
      <c r="C108" t="s">
        <v>120</v>
      </c>
      <c r="D108" t="str">
        <f>RIGHT(lista!$C108,4)</f>
        <v>2022</v>
      </c>
      <c r="E108" t="s">
        <v>902</v>
      </c>
      <c r="F108" s="1">
        <v>46158</v>
      </c>
      <c r="G108" s="3">
        <f>Tabela1[[#This Row],[valor_contrapartida]]+Tabela1[[#This Row],[valor_orgao]]</f>
        <v>606323.59</v>
      </c>
      <c r="H108" s="3">
        <v>206323.59</v>
      </c>
      <c r="I108" s="3">
        <v>400000</v>
      </c>
    </row>
    <row r="109" spans="1:9" x14ac:dyDescent="0.25">
      <c r="A109" t="s">
        <v>0</v>
      </c>
      <c r="B109" t="s">
        <v>117</v>
      </c>
      <c r="C109" t="s">
        <v>121</v>
      </c>
      <c r="D109" t="str">
        <f>RIGHT(lista!$C109,4)</f>
        <v>2022</v>
      </c>
      <c r="E109" t="s">
        <v>903</v>
      </c>
      <c r="F109" s="1">
        <v>46213</v>
      </c>
      <c r="G109" s="3">
        <f>Tabela1[[#This Row],[valor_contrapartida]]+Tabela1[[#This Row],[valor_orgao]]</f>
        <v>2201153.23</v>
      </c>
      <c r="H109" s="3">
        <v>220133.33</v>
      </c>
      <c r="I109" s="3">
        <v>1981019.9</v>
      </c>
    </row>
    <row r="110" spans="1:9" x14ac:dyDescent="0.25">
      <c r="A110" t="s">
        <v>0</v>
      </c>
      <c r="B110" t="s">
        <v>117</v>
      </c>
      <c r="C110" t="s">
        <v>122</v>
      </c>
      <c r="D110" t="str">
        <f>RIGHT(lista!$C110,4)</f>
        <v>2022</v>
      </c>
      <c r="E110" t="s">
        <v>904</v>
      </c>
      <c r="F110" s="1">
        <v>46187</v>
      </c>
      <c r="G110" s="3">
        <f>Tabela1[[#This Row],[valor_contrapartida]]+Tabela1[[#This Row],[valor_orgao]]</f>
        <v>1395355.34</v>
      </c>
      <c r="H110" s="3">
        <v>395355.34</v>
      </c>
      <c r="I110" s="3">
        <v>1000000</v>
      </c>
    </row>
    <row r="111" spans="1:9" x14ac:dyDescent="0.25">
      <c r="A111" t="s">
        <v>0</v>
      </c>
      <c r="B111" t="s">
        <v>117</v>
      </c>
      <c r="C111" t="s">
        <v>123</v>
      </c>
      <c r="D111" t="str">
        <f>RIGHT(lista!$C111,4)</f>
        <v>2022</v>
      </c>
      <c r="E111" t="s">
        <v>905</v>
      </c>
      <c r="F111" s="1">
        <v>46378</v>
      </c>
      <c r="G111" s="3">
        <f>Tabela1[[#This Row],[valor_contrapartida]]+Tabela1[[#This Row],[valor_orgao]]</f>
        <v>429487.94</v>
      </c>
      <c r="H111" s="3">
        <v>179488.64000000001</v>
      </c>
      <c r="I111" s="3">
        <v>249999.3</v>
      </c>
    </row>
    <row r="112" spans="1:9" x14ac:dyDescent="0.25">
      <c r="A112" t="s">
        <v>0</v>
      </c>
      <c r="B112" t="s">
        <v>117</v>
      </c>
      <c r="C112" t="s">
        <v>124</v>
      </c>
      <c r="D112" t="str">
        <f>RIGHT(lista!$C112,4)</f>
        <v>2022</v>
      </c>
      <c r="E112" t="s">
        <v>906</v>
      </c>
      <c r="F112" s="1">
        <v>46327</v>
      </c>
      <c r="G112" s="3">
        <f>Tabela1[[#This Row],[valor_contrapartida]]+Tabela1[[#This Row],[valor_orgao]]</f>
        <v>6707616.6699999999</v>
      </c>
      <c r="H112" s="3">
        <v>881671.37</v>
      </c>
      <c r="I112" s="3">
        <v>5825945.2999999998</v>
      </c>
    </row>
    <row r="113" spans="1:9" x14ac:dyDescent="0.25">
      <c r="A113" t="s">
        <v>0</v>
      </c>
      <c r="B113" t="s">
        <v>117</v>
      </c>
      <c r="C113" t="s">
        <v>125</v>
      </c>
      <c r="D113" t="str">
        <f>RIGHT(lista!$C113,4)</f>
        <v>2022</v>
      </c>
      <c r="E113" t="s">
        <v>907</v>
      </c>
      <c r="F113" s="1">
        <v>46259</v>
      </c>
      <c r="G113" s="3">
        <f>Tabela1[[#This Row],[valor_contrapartida]]+Tabela1[[#This Row],[valor_orgao]]</f>
        <v>2063933.9500000002</v>
      </c>
      <c r="H113" s="3">
        <v>206393.39</v>
      </c>
      <c r="I113" s="3">
        <v>1857540.56</v>
      </c>
    </row>
    <row r="114" spans="1:9" x14ac:dyDescent="0.25">
      <c r="A114" t="s">
        <v>0</v>
      </c>
      <c r="B114" t="s">
        <v>126</v>
      </c>
      <c r="C114" t="s">
        <v>127</v>
      </c>
      <c r="D114" t="str">
        <f>RIGHT(lista!$C114,4)</f>
        <v>2022</v>
      </c>
      <c r="E114" t="s">
        <v>908</v>
      </c>
      <c r="F114" s="1">
        <v>45829</v>
      </c>
      <c r="G114" s="3">
        <f>Tabela1[[#This Row],[valor_contrapartida]]+Tabela1[[#This Row],[valor_orgao]]</f>
        <v>3904788.7800000003</v>
      </c>
      <c r="H114" s="3">
        <v>504788.78</v>
      </c>
      <c r="I114" s="3">
        <v>3400000</v>
      </c>
    </row>
    <row r="115" spans="1:9" x14ac:dyDescent="0.25">
      <c r="A115" t="s">
        <v>0</v>
      </c>
      <c r="B115" t="s">
        <v>128</v>
      </c>
      <c r="C115" t="s">
        <v>129</v>
      </c>
      <c r="D115" t="str">
        <f>RIGHT(lista!$C115,4)</f>
        <v>2022</v>
      </c>
      <c r="E115" t="s">
        <v>909</v>
      </c>
      <c r="F115" s="1">
        <v>45753</v>
      </c>
      <c r="G115" s="3">
        <f>Tabela1[[#This Row],[valor_contrapartida]]+Tabela1[[#This Row],[valor_orgao]]</f>
        <v>440007.42</v>
      </c>
      <c r="H115" s="3">
        <v>44000.74</v>
      </c>
      <c r="I115" s="3">
        <v>396006.68</v>
      </c>
    </row>
    <row r="116" spans="1:9" x14ac:dyDescent="0.25">
      <c r="A116" t="s">
        <v>0</v>
      </c>
      <c r="B116" t="s">
        <v>128</v>
      </c>
      <c r="C116" t="s">
        <v>130</v>
      </c>
      <c r="D116" t="str">
        <f>RIGHT(lista!$C116,4)</f>
        <v>2022</v>
      </c>
      <c r="E116" t="s">
        <v>910</v>
      </c>
      <c r="F116" s="1">
        <v>46385</v>
      </c>
      <c r="G116" s="3">
        <f>Tabela1[[#This Row],[valor_contrapartida]]+Tabela1[[#This Row],[valor_orgao]]</f>
        <v>378682.19</v>
      </c>
      <c r="H116" s="3">
        <v>15147.29</v>
      </c>
      <c r="I116" s="3">
        <v>363534.9</v>
      </c>
    </row>
    <row r="117" spans="1:9" x14ac:dyDescent="0.25">
      <c r="A117" t="s">
        <v>0</v>
      </c>
      <c r="B117" t="s">
        <v>128</v>
      </c>
      <c r="C117" t="s">
        <v>131</v>
      </c>
      <c r="D117" t="str">
        <f>RIGHT(lista!$C117,4)</f>
        <v>2022</v>
      </c>
      <c r="E117" t="s">
        <v>911</v>
      </c>
      <c r="F117" s="1">
        <v>46113</v>
      </c>
      <c r="G117" s="3">
        <f>Tabela1[[#This Row],[valor_contrapartida]]+Tabela1[[#This Row],[valor_orgao]]</f>
        <v>746609.81</v>
      </c>
      <c r="H117" s="3">
        <v>29864.39</v>
      </c>
      <c r="I117" s="3">
        <v>716745.42</v>
      </c>
    </row>
    <row r="118" spans="1:9" x14ac:dyDescent="0.25">
      <c r="A118" t="s">
        <v>0</v>
      </c>
      <c r="B118" t="s">
        <v>132</v>
      </c>
      <c r="C118" t="s">
        <v>133</v>
      </c>
      <c r="D118" t="str">
        <f>RIGHT(lista!$C118,4)</f>
        <v>2021</v>
      </c>
      <c r="E118" t="s">
        <v>912</v>
      </c>
      <c r="F118" s="1">
        <v>45446</v>
      </c>
      <c r="G118" s="3">
        <f>Tabela1[[#This Row],[valor_contrapartida]]+Tabela1[[#This Row],[valor_orgao]]</f>
        <v>491233.61</v>
      </c>
      <c r="H118" s="3">
        <v>19650</v>
      </c>
      <c r="I118" s="3">
        <v>471583.61</v>
      </c>
    </row>
    <row r="119" spans="1:9" x14ac:dyDescent="0.25">
      <c r="A119" t="s">
        <v>0</v>
      </c>
      <c r="B119" t="s">
        <v>132</v>
      </c>
      <c r="C119" t="s">
        <v>398</v>
      </c>
      <c r="D119" t="str">
        <f>RIGHT(lista!$C119,4)</f>
        <v>2024</v>
      </c>
      <c r="E119" t="s">
        <v>913</v>
      </c>
      <c r="F119" s="1">
        <v>46339</v>
      </c>
      <c r="G119" s="3">
        <f>Tabela1[[#This Row],[valor_contrapartida]]+Tabela1[[#This Row],[valor_orgao]]</f>
        <v>7901805.0300000003</v>
      </c>
      <c r="H119" s="3">
        <v>323560.65000000002</v>
      </c>
      <c r="I119" s="3">
        <v>7578244.3799999999</v>
      </c>
    </row>
    <row r="120" spans="1:9" x14ac:dyDescent="0.25">
      <c r="A120" t="s">
        <v>0</v>
      </c>
      <c r="B120" t="s">
        <v>132</v>
      </c>
      <c r="C120" t="s">
        <v>397</v>
      </c>
      <c r="D120" t="str">
        <f>RIGHT(lista!$C120,4)</f>
        <v>2023</v>
      </c>
      <c r="E120" t="s">
        <v>914</v>
      </c>
      <c r="F120" s="1">
        <v>45877</v>
      </c>
      <c r="G120" s="3">
        <f>Tabela1[[#This Row],[valor_contrapartida]]+Tabela1[[#This Row],[valor_orgao]]</f>
        <v>383777.28000000003</v>
      </c>
      <c r="H120" s="3">
        <v>83777.279999999999</v>
      </c>
      <c r="I120" s="3">
        <v>300000</v>
      </c>
    </row>
    <row r="121" spans="1:9" x14ac:dyDescent="0.25">
      <c r="A121" t="s">
        <v>0</v>
      </c>
      <c r="B121" t="s">
        <v>134</v>
      </c>
      <c r="C121" t="s">
        <v>135</v>
      </c>
      <c r="D121" t="str">
        <f>RIGHT(lista!$C121,4)</f>
        <v>2022</v>
      </c>
      <c r="E121" t="s">
        <v>915</v>
      </c>
      <c r="F121" s="1">
        <v>45823</v>
      </c>
      <c r="G121" s="3">
        <f>Tabela1[[#This Row],[valor_contrapartida]]+Tabela1[[#This Row],[valor_orgao]]</f>
        <v>831619.96</v>
      </c>
      <c r="H121" s="3">
        <v>131619.96</v>
      </c>
      <c r="I121" s="3">
        <v>700000</v>
      </c>
    </row>
    <row r="122" spans="1:9" x14ac:dyDescent="0.25">
      <c r="A122" t="s">
        <v>0</v>
      </c>
      <c r="B122" t="s">
        <v>134</v>
      </c>
      <c r="C122" t="s">
        <v>136</v>
      </c>
      <c r="D122" t="str">
        <f>RIGHT(lista!$C122,4)</f>
        <v>2022</v>
      </c>
      <c r="E122" t="s">
        <v>916</v>
      </c>
      <c r="F122" s="1">
        <v>45474</v>
      </c>
      <c r="G122" s="3">
        <f>Tabela1[[#This Row],[valor_contrapartida]]+Tabela1[[#This Row],[valor_orgao]]</f>
        <v>267904.18</v>
      </c>
      <c r="H122" s="3">
        <v>67904.179999999993</v>
      </c>
      <c r="I122" s="3">
        <v>200000</v>
      </c>
    </row>
    <row r="123" spans="1:9" x14ac:dyDescent="0.25">
      <c r="A123" t="s">
        <v>0</v>
      </c>
      <c r="B123" t="s">
        <v>134</v>
      </c>
      <c r="C123" t="s">
        <v>137</v>
      </c>
      <c r="D123" t="str">
        <f>RIGHT(lista!$C123,4)</f>
        <v>2024</v>
      </c>
      <c r="E123" t="s">
        <v>917</v>
      </c>
      <c r="F123" s="1">
        <v>46201</v>
      </c>
      <c r="G123" s="3">
        <f>Tabela1[[#This Row],[valor_contrapartida]]+Tabela1[[#This Row],[valor_orgao]]</f>
        <v>2089645.23</v>
      </c>
      <c r="H123" s="3">
        <v>83585.81</v>
      </c>
      <c r="I123" s="3">
        <v>2006059.42</v>
      </c>
    </row>
    <row r="124" spans="1:9" x14ac:dyDescent="0.25">
      <c r="A124" t="s">
        <v>0</v>
      </c>
      <c r="B124" t="s">
        <v>138</v>
      </c>
      <c r="C124" t="s">
        <v>139</v>
      </c>
      <c r="D124" t="str">
        <f>RIGHT(lista!$C124,4)</f>
        <v>2023</v>
      </c>
      <c r="E124" t="s">
        <v>918</v>
      </c>
      <c r="F124" s="1">
        <v>45992</v>
      </c>
      <c r="G124" s="3">
        <f>Tabela1[[#This Row],[valor_contrapartida]]+Tabela1[[#This Row],[valor_orgao]]</f>
        <v>18403904.170000002</v>
      </c>
      <c r="H124" s="3">
        <v>736156.17</v>
      </c>
      <c r="I124" s="3">
        <v>17667748</v>
      </c>
    </row>
    <row r="125" spans="1:9" x14ac:dyDescent="0.25">
      <c r="A125" t="s">
        <v>0</v>
      </c>
      <c r="B125" t="s">
        <v>140</v>
      </c>
      <c r="C125" t="s">
        <v>141</v>
      </c>
      <c r="D125" t="str">
        <f>RIGHT(lista!$C125,4)</f>
        <v>2022</v>
      </c>
      <c r="E125" t="s">
        <v>919</v>
      </c>
      <c r="F125" s="1">
        <v>46194</v>
      </c>
      <c r="G125" s="3">
        <f>Tabela1[[#This Row],[valor_contrapartida]]+Tabela1[[#This Row],[valor_orgao]]</f>
        <v>3907221.48</v>
      </c>
      <c r="H125" s="3">
        <v>749207.86</v>
      </c>
      <c r="I125" s="3">
        <v>3158013.62</v>
      </c>
    </row>
    <row r="126" spans="1:9" x14ac:dyDescent="0.25">
      <c r="A126" t="s">
        <v>0</v>
      </c>
      <c r="B126" t="s">
        <v>140</v>
      </c>
      <c r="C126" t="s">
        <v>142</v>
      </c>
      <c r="D126" t="str">
        <f>RIGHT(lista!$C126,4)</f>
        <v>2024</v>
      </c>
      <c r="E126" t="s">
        <v>920</v>
      </c>
      <c r="F126" s="1">
        <v>46331</v>
      </c>
      <c r="G126" s="3">
        <f>Tabela1[[#This Row],[valor_contrapartida]]+Tabela1[[#This Row],[valor_orgao]]</f>
        <v>3765537.95</v>
      </c>
      <c r="H126" s="3">
        <v>265537.95</v>
      </c>
      <c r="I126" s="3">
        <v>3500000</v>
      </c>
    </row>
    <row r="127" spans="1:9" x14ac:dyDescent="0.25">
      <c r="A127" t="s">
        <v>0</v>
      </c>
      <c r="B127" t="s">
        <v>140</v>
      </c>
      <c r="C127" t="s">
        <v>143</v>
      </c>
      <c r="D127" t="str">
        <f>RIGHT(lista!$C127,4)</f>
        <v>2025</v>
      </c>
      <c r="E127" t="s">
        <v>921</v>
      </c>
      <c r="F127" s="1">
        <v>46334</v>
      </c>
      <c r="G127" s="3">
        <f>Tabela1[[#This Row],[valor_contrapartida]]+Tabela1[[#This Row],[valor_orgao]]</f>
        <v>3493812.41</v>
      </c>
      <c r="H127" s="3">
        <v>493812.41</v>
      </c>
      <c r="I127" s="3">
        <v>3000000</v>
      </c>
    </row>
    <row r="128" spans="1:9" x14ac:dyDescent="0.25">
      <c r="A128" t="s">
        <v>0</v>
      </c>
      <c r="B128" t="s">
        <v>144</v>
      </c>
      <c r="C128" t="s">
        <v>145</v>
      </c>
      <c r="D128" t="str">
        <f>RIGHT(lista!$C128,4)</f>
        <v>2022</v>
      </c>
      <c r="E128" t="s">
        <v>922</v>
      </c>
      <c r="F128" s="1">
        <v>45814</v>
      </c>
      <c r="G128" s="3">
        <f>Tabela1[[#This Row],[valor_contrapartida]]+Tabela1[[#This Row],[valor_orgao]]</f>
        <v>526941.34</v>
      </c>
      <c r="H128" s="3">
        <v>38983.339999999997</v>
      </c>
      <c r="I128" s="3">
        <v>487958</v>
      </c>
    </row>
    <row r="129" spans="1:9" x14ac:dyDescent="0.25">
      <c r="A129" t="s">
        <v>0</v>
      </c>
      <c r="B129" t="s">
        <v>144</v>
      </c>
      <c r="C129" t="s">
        <v>146</v>
      </c>
      <c r="D129" t="str">
        <f>RIGHT(lista!$C129,4)</f>
        <v>2022</v>
      </c>
      <c r="E129" t="s">
        <v>923</v>
      </c>
      <c r="F129" s="1">
        <v>46142</v>
      </c>
      <c r="G129" s="3">
        <f>Tabela1[[#This Row],[valor_contrapartida]]+Tabela1[[#This Row],[valor_orgao]]</f>
        <v>612267.49</v>
      </c>
      <c r="H129" s="3">
        <v>24490.7</v>
      </c>
      <c r="I129" s="3">
        <v>587776.79</v>
      </c>
    </row>
    <row r="130" spans="1:9" x14ac:dyDescent="0.25">
      <c r="A130" t="s">
        <v>0</v>
      </c>
      <c r="B130" t="s">
        <v>147</v>
      </c>
      <c r="C130" t="s">
        <v>148</v>
      </c>
      <c r="D130" t="str">
        <f>RIGHT(lista!$C130,4)</f>
        <v>2022</v>
      </c>
      <c r="E130" t="s">
        <v>924</v>
      </c>
      <c r="F130" s="1">
        <v>46155</v>
      </c>
      <c r="G130" s="3">
        <f>Tabela1[[#This Row],[valor_contrapartida]]+Tabela1[[#This Row],[valor_orgao]]</f>
        <v>6791587.5999999996</v>
      </c>
      <c r="H130" s="3">
        <v>735472.1</v>
      </c>
      <c r="I130" s="3">
        <v>6056115.5</v>
      </c>
    </row>
    <row r="131" spans="1:9" x14ac:dyDescent="0.25">
      <c r="A131" t="s">
        <v>0</v>
      </c>
      <c r="B131" t="s">
        <v>147</v>
      </c>
      <c r="C131" t="s">
        <v>149</v>
      </c>
      <c r="D131" t="str">
        <f>RIGHT(lista!$C131,4)</f>
        <v>2022</v>
      </c>
      <c r="E131" t="s">
        <v>925</v>
      </c>
      <c r="F131" s="1">
        <v>46196</v>
      </c>
      <c r="G131" s="3">
        <f>Tabela1[[#This Row],[valor_contrapartida]]+Tabela1[[#This Row],[valor_orgao]]</f>
        <v>1799738.9700000002</v>
      </c>
      <c r="H131" s="3">
        <v>145674.37</v>
      </c>
      <c r="I131" s="3">
        <v>1654064.6</v>
      </c>
    </row>
    <row r="132" spans="1:9" x14ac:dyDescent="0.25">
      <c r="A132" t="s">
        <v>0</v>
      </c>
      <c r="B132" t="s">
        <v>147</v>
      </c>
      <c r="C132" t="s">
        <v>150</v>
      </c>
      <c r="D132" t="str">
        <f>RIGHT(lista!$C132,4)</f>
        <v>2024</v>
      </c>
      <c r="E132" t="s">
        <v>926</v>
      </c>
      <c r="F132" s="1">
        <v>46179</v>
      </c>
      <c r="G132" s="3">
        <f>Tabela1[[#This Row],[valor_contrapartida]]+Tabela1[[#This Row],[valor_orgao]]</f>
        <v>462299.46</v>
      </c>
      <c r="H132" s="3">
        <v>62299.46</v>
      </c>
      <c r="I132" s="3">
        <v>400000</v>
      </c>
    </row>
    <row r="133" spans="1:9" x14ac:dyDescent="0.25">
      <c r="A133" t="s">
        <v>0</v>
      </c>
      <c r="B133" t="s">
        <v>429</v>
      </c>
      <c r="C133" t="s">
        <v>399</v>
      </c>
      <c r="D133" t="str">
        <f>RIGHT(lista!$C133,4)</f>
        <v>2021</v>
      </c>
      <c r="E133" t="s">
        <v>927</v>
      </c>
      <c r="F133" s="1">
        <v>45615</v>
      </c>
      <c r="G133" s="3">
        <f>Tabela1[[#This Row],[valor_contrapartida]]+Tabela1[[#This Row],[valor_orgao]]</f>
        <v>332217.23</v>
      </c>
      <c r="H133" s="3">
        <v>32217.23</v>
      </c>
      <c r="I133" s="3">
        <v>300000</v>
      </c>
    </row>
    <row r="134" spans="1:9" x14ac:dyDescent="0.25">
      <c r="A134" t="s">
        <v>0</v>
      </c>
      <c r="B134" t="s">
        <v>151</v>
      </c>
      <c r="C134" t="s">
        <v>152</v>
      </c>
      <c r="D134" t="str">
        <f>RIGHT(lista!$C134,4)</f>
        <v>2022</v>
      </c>
      <c r="E134" t="s">
        <v>928</v>
      </c>
      <c r="F134" s="1">
        <v>46180</v>
      </c>
      <c r="G134" s="3">
        <f>Tabela1[[#This Row],[valor_contrapartida]]+Tabela1[[#This Row],[valor_orgao]]</f>
        <v>732624.81</v>
      </c>
      <c r="H134" s="3">
        <v>32624.81</v>
      </c>
      <c r="I134" s="3">
        <v>700000</v>
      </c>
    </row>
    <row r="135" spans="1:9" x14ac:dyDescent="0.25">
      <c r="A135" t="s">
        <v>0</v>
      </c>
      <c r="B135" t="s">
        <v>151</v>
      </c>
      <c r="C135" t="s">
        <v>153</v>
      </c>
      <c r="D135" t="str">
        <f>RIGHT(lista!$C135,4)</f>
        <v>2022</v>
      </c>
      <c r="E135" t="s">
        <v>929</v>
      </c>
      <c r="F135" s="1">
        <v>46188</v>
      </c>
      <c r="G135" s="3">
        <f>Tabela1[[#This Row],[valor_contrapartida]]+Tabela1[[#This Row],[valor_orgao]]</f>
        <v>1082336.9099999999</v>
      </c>
      <c r="H135" s="3">
        <v>82336.91</v>
      </c>
      <c r="I135" s="3">
        <v>1000000</v>
      </c>
    </row>
    <row r="136" spans="1:9" x14ac:dyDescent="0.25">
      <c r="A136" t="s">
        <v>0</v>
      </c>
      <c r="B136" t="s">
        <v>151</v>
      </c>
      <c r="C136" t="s">
        <v>154</v>
      </c>
      <c r="D136" t="str">
        <f>RIGHT(lista!$C136,4)</f>
        <v>2024</v>
      </c>
      <c r="E136" t="s">
        <v>930</v>
      </c>
      <c r="F136" s="1">
        <v>46079</v>
      </c>
      <c r="G136" s="3">
        <f>Tabela1[[#This Row],[valor_contrapartida]]+Tabela1[[#This Row],[valor_orgao]]</f>
        <v>1048106.04</v>
      </c>
      <c r="H136" s="3">
        <v>48106.04</v>
      </c>
      <c r="I136" s="3">
        <v>1000000</v>
      </c>
    </row>
    <row r="137" spans="1:9" x14ac:dyDescent="0.25">
      <c r="A137" t="s">
        <v>0</v>
      </c>
      <c r="B137" t="s">
        <v>151</v>
      </c>
      <c r="C137" t="s">
        <v>400</v>
      </c>
      <c r="D137" t="str">
        <f>RIGHT(lista!$C137,4)</f>
        <v>2021</v>
      </c>
      <c r="E137" t="s">
        <v>931</v>
      </c>
      <c r="F137" s="1">
        <v>46143</v>
      </c>
      <c r="G137" s="3">
        <f>Tabela1[[#This Row],[valor_contrapartida]]+Tabela1[[#This Row],[valor_orgao]]</f>
        <v>1144234.7</v>
      </c>
      <c r="H137" s="3">
        <v>44234.7</v>
      </c>
      <c r="I137" s="3">
        <v>1100000</v>
      </c>
    </row>
    <row r="138" spans="1:9" x14ac:dyDescent="0.25">
      <c r="A138" t="s">
        <v>0</v>
      </c>
      <c r="B138" t="s">
        <v>155</v>
      </c>
      <c r="C138" t="s">
        <v>156</v>
      </c>
      <c r="D138" t="str">
        <f>RIGHT(lista!$C138,4)</f>
        <v>2022</v>
      </c>
      <c r="E138" t="s">
        <v>932</v>
      </c>
      <c r="F138" s="1">
        <v>44927</v>
      </c>
      <c r="G138" s="3">
        <f>Tabela1[[#This Row],[valor_contrapartida]]+Tabela1[[#This Row],[valor_orgao]]</f>
        <v>182713.34</v>
      </c>
      <c r="H138" s="3">
        <v>7713.34</v>
      </c>
      <c r="I138" s="3">
        <v>175000</v>
      </c>
    </row>
    <row r="139" spans="1:9" x14ac:dyDescent="0.25">
      <c r="A139" t="s">
        <v>0</v>
      </c>
      <c r="B139" t="s">
        <v>155</v>
      </c>
      <c r="C139" t="s">
        <v>157</v>
      </c>
      <c r="D139" t="str">
        <f>RIGHT(lista!$C139,4)</f>
        <v>2022</v>
      </c>
      <c r="E139" t="s">
        <v>933</v>
      </c>
      <c r="F139" s="1">
        <v>45839</v>
      </c>
      <c r="G139" s="3">
        <f>Tabela1[[#This Row],[valor_contrapartida]]+Tabela1[[#This Row],[valor_orgao]]</f>
        <v>2052782.83</v>
      </c>
      <c r="H139" s="3">
        <v>82782.83</v>
      </c>
      <c r="I139" s="3">
        <v>1970000</v>
      </c>
    </row>
    <row r="140" spans="1:9" x14ac:dyDescent="0.25">
      <c r="A140" t="s">
        <v>0</v>
      </c>
      <c r="B140" t="s">
        <v>158</v>
      </c>
      <c r="C140" t="s">
        <v>159</v>
      </c>
      <c r="D140" t="str">
        <f>RIGHT(lista!$C140,4)</f>
        <v>2022</v>
      </c>
      <c r="E140" t="s">
        <v>934</v>
      </c>
      <c r="F140" s="1">
        <v>45822</v>
      </c>
      <c r="G140" s="3">
        <f>Tabela1[[#This Row],[valor_contrapartida]]+Tabela1[[#This Row],[valor_orgao]]</f>
        <v>498769.31</v>
      </c>
      <c r="H140" s="3">
        <v>98769.31</v>
      </c>
      <c r="I140" s="3">
        <v>400000</v>
      </c>
    </row>
    <row r="141" spans="1:9" x14ac:dyDescent="0.25">
      <c r="A141" t="s">
        <v>0</v>
      </c>
      <c r="B141" t="s">
        <v>158</v>
      </c>
      <c r="C141" t="s">
        <v>160</v>
      </c>
      <c r="D141" t="str">
        <f>RIGHT(lista!$C141,4)</f>
        <v>2022</v>
      </c>
      <c r="E141" t="s">
        <v>935</v>
      </c>
      <c r="F141" s="1">
        <v>46193</v>
      </c>
      <c r="G141" s="3">
        <f>Tabela1[[#This Row],[valor_contrapartida]]+Tabela1[[#This Row],[valor_orgao]]</f>
        <v>219256.65000000002</v>
      </c>
      <c r="H141" s="3">
        <v>8770.26</v>
      </c>
      <c r="I141" s="3">
        <v>210486.39</v>
      </c>
    </row>
    <row r="142" spans="1:9" x14ac:dyDescent="0.25">
      <c r="A142" t="s">
        <v>0</v>
      </c>
      <c r="B142" t="s">
        <v>158</v>
      </c>
      <c r="C142" t="s">
        <v>161</v>
      </c>
      <c r="D142" t="str">
        <f>RIGHT(lista!$C142,4)</f>
        <v>2022</v>
      </c>
      <c r="E142" t="s">
        <v>936</v>
      </c>
      <c r="F142" s="1">
        <v>45467</v>
      </c>
      <c r="G142" s="3">
        <f>Tabela1[[#This Row],[valor_contrapartida]]+Tabela1[[#This Row],[valor_orgao]]</f>
        <v>208420.56</v>
      </c>
      <c r="H142" s="3">
        <v>8420.56</v>
      </c>
      <c r="I142" s="3">
        <v>200000</v>
      </c>
    </row>
    <row r="143" spans="1:9" x14ac:dyDescent="0.25">
      <c r="A143" t="s">
        <v>0</v>
      </c>
      <c r="B143" t="s">
        <v>158</v>
      </c>
      <c r="C143" t="s">
        <v>162</v>
      </c>
      <c r="D143" t="str">
        <f>RIGHT(lista!$C143,4)</f>
        <v>2022</v>
      </c>
      <c r="E143" t="s">
        <v>937</v>
      </c>
      <c r="F143" s="1">
        <v>46197</v>
      </c>
      <c r="G143" s="3">
        <f>Tabela1[[#This Row],[valor_contrapartida]]+Tabela1[[#This Row],[valor_orgao]]</f>
        <v>11896006.289999999</v>
      </c>
      <c r="H143" s="3">
        <v>475840.29</v>
      </c>
      <c r="I143" s="3">
        <v>11420166</v>
      </c>
    </row>
    <row r="144" spans="1:9" x14ac:dyDescent="0.25">
      <c r="A144" t="s">
        <v>0</v>
      </c>
      <c r="B144" t="s">
        <v>158</v>
      </c>
      <c r="C144" t="s">
        <v>163</v>
      </c>
      <c r="D144" t="str">
        <f>RIGHT(lista!$C144,4)</f>
        <v>2022</v>
      </c>
      <c r="E144" t="s">
        <v>938</v>
      </c>
      <c r="F144" s="1">
        <v>46201</v>
      </c>
      <c r="G144" s="3">
        <f>Tabela1[[#This Row],[valor_contrapartida]]+Tabela1[[#This Row],[valor_orgao]]</f>
        <v>889731.42999999993</v>
      </c>
      <c r="H144" s="3">
        <v>89835.69</v>
      </c>
      <c r="I144" s="3">
        <v>799895.74</v>
      </c>
    </row>
    <row r="145" spans="1:9" x14ac:dyDescent="0.25">
      <c r="A145" t="s">
        <v>0</v>
      </c>
      <c r="B145" t="s">
        <v>158</v>
      </c>
      <c r="C145" t="s">
        <v>164</v>
      </c>
      <c r="D145" t="str">
        <f>RIGHT(lista!$C145,4)</f>
        <v>2024</v>
      </c>
      <c r="E145" t="s">
        <v>939</v>
      </c>
      <c r="F145" s="1">
        <v>46171</v>
      </c>
      <c r="G145" s="3">
        <f>Tabela1[[#This Row],[valor_contrapartida]]+Tabela1[[#This Row],[valor_orgao]]</f>
        <v>1079339.3799999999</v>
      </c>
      <c r="H145" s="3">
        <v>79339.38</v>
      </c>
      <c r="I145" s="3">
        <v>1000000</v>
      </c>
    </row>
    <row r="146" spans="1:9" x14ac:dyDescent="0.25">
      <c r="A146" t="s">
        <v>0</v>
      </c>
      <c r="B146" t="s">
        <v>158</v>
      </c>
      <c r="C146" t="s">
        <v>165</v>
      </c>
      <c r="D146" t="str">
        <f>RIGHT(lista!$C146,4)</f>
        <v>2024</v>
      </c>
      <c r="E146" t="s">
        <v>940</v>
      </c>
      <c r="F146" s="1">
        <v>46192</v>
      </c>
      <c r="G146" s="3">
        <f>Tabela1[[#This Row],[valor_contrapartida]]+Tabela1[[#This Row],[valor_orgao]]</f>
        <v>1985941.69</v>
      </c>
      <c r="H146" s="3">
        <v>81243.39</v>
      </c>
      <c r="I146" s="3">
        <v>1904698.3</v>
      </c>
    </row>
    <row r="147" spans="1:9" x14ac:dyDescent="0.25">
      <c r="A147" t="s">
        <v>0</v>
      </c>
      <c r="B147" t="s">
        <v>427</v>
      </c>
      <c r="C147" t="s">
        <v>401</v>
      </c>
      <c r="D147" t="str">
        <f>RIGHT(lista!$C147,4)</f>
        <v>2022</v>
      </c>
      <c r="E147" t="s">
        <v>941</v>
      </c>
      <c r="F147" s="1">
        <v>45412</v>
      </c>
      <c r="G147" s="3">
        <f>Tabela1[[#This Row],[valor_contrapartida]]+Tabela1[[#This Row],[valor_orgao]]</f>
        <v>207703.38</v>
      </c>
      <c r="H147" s="3">
        <v>8308.14</v>
      </c>
      <c r="I147" s="3">
        <v>199395.24</v>
      </c>
    </row>
    <row r="148" spans="1:9" x14ac:dyDescent="0.25">
      <c r="A148" t="s">
        <v>0</v>
      </c>
      <c r="B148" t="s">
        <v>426</v>
      </c>
      <c r="C148" t="s">
        <v>402</v>
      </c>
      <c r="D148" t="str">
        <f>RIGHT(lista!$C148,4)</f>
        <v>2022</v>
      </c>
      <c r="E148" t="s">
        <v>942</v>
      </c>
      <c r="F148" s="1">
        <v>46088</v>
      </c>
      <c r="G148" s="3">
        <f>Tabela1[[#This Row],[valor_contrapartida]]+Tabela1[[#This Row],[valor_orgao]]</f>
        <v>7961642.3500000006</v>
      </c>
      <c r="H148" s="3">
        <v>398082.11</v>
      </c>
      <c r="I148" s="3">
        <v>7563560.2400000002</v>
      </c>
    </row>
    <row r="149" spans="1:9" x14ac:dyDescent="0.25">
      <c r="A149" t="s">
        <v>0</v>
      </c>
      <c r="B149" t="s">
        <v>166</v>
      </c>
      <c r="C149" t="s">
        <v>167</v>
      </c>
      <c r="D149" t="str">
        <f>RIGHT(lista!$C149,4)</f>
        <v>2022</v>
      </c>
      <c r="E149" t="s">
        <v>943</v>
      </c>
      <c r="F149" s="1">
        <v>45911</v>
      </c>
      <c r="G149" s="3">
        <f>Tabela1[[#This Row],[valor_contrapartida]]+Tabela1[[#This Row],[valor_orgao]]</f>
        <v>10801537.92</v>
      </c>
      <c r="H149" s="3">
        <v>432061.52</v>
      </c>
      <c r="I149" s="3">
        <v>10369476.4</v>
      </c>
    </row>
    <row r="150" spans="1:9" x14ac:dyDescent="0.25">
      <c r="A150" t="s">
        <v>0</v>
      </c>
      <c r="B150" t="s">
        <v>166</v>
      </c>
      <c r="C150" t="s">
        <v>168</v>
      </c>
      <c r="D150" t="str">
        <f>RIGHT(lista!$C150,4)</f>
        <v>2022</v>
      </c>
      <c r="E150" t="s">
        <v>944</v>
      </c>
      <c r="F150" s="1">
        <v>45832</v>
      </c>
      <c r="G150" s="3">
        <f>Tabela1[[#This Row],[valor_contrapartida]]+Tabela1[[#This Row],[valor_orgao]]</f>
        <v>4028599.59</v>
      </c>
      <c r="H150" s="3">
        <v>161143.99</v>
      </c>
      <c r="I150" s="3">
        <v>3867455.6</v>
      </c>
    </row>
    <row r="151" spans="1:9" x14ac:dyDescent="0.25">
      <c r="A151" t="s">
        <v>0</v>
      </c>
      <c r="B151" t="s">
        <v>169</v>
      </c>
      <c r="C151" t="s">
        <v>170</v>
      </c>
      <c r="D151" t="str">
        <f>RIGHT(lista!$C151,4)</f>
        <v>2022</v>
      </c>
      <c r="E151" t="s">
        <v>945</v>
      </c>
      <c r="F151" s="1">
        <v>46117</v>
      </c>
      <c r="G151" s="3">
        <f>Tabela1[[#This Row],[valor_contrapartida]]+Tabela1[[#This Row],[valor_orgao]]</f>
        <v>2632650</v>
      </c>
      <c r="H151" s="3">
        <v>131632.5</v>
      </c>
      <c r="I151" s="3">
        <v>2501017.5</v>
      </c>
    </row>
    <row r="152" spans="1:9" x14ac:dyDescent="0.25">
      <c r="A152" t="s">
        <v>0</v>
      </c>
      <c r="B152" t="s">
        <v>169</v>
      </c>
      <c r="C152" t="s">
        <v>171</v>
      </c>
      <c r="D152" t="str">
        <f>RIGHT(lista!$C152,4)</f>
        <v>2022</v>
      </c>
      <c r="E152" t="s">
        <v>946</v>
      </c>
      <c r="F152" s="1">
        <v>45464</v>
      </c>
      <c r="G152" s="3">
        <f>Tabela1[[#This Row],[valor_contrapartida]]+Tabela1[[#This Row],[valor_orgao]]</f>
        <v>328583.45999999996</v>
      </c>
      <c r="H152" s="3">
        <v>16429.169999999998</v>
      </c>
      <c r="I152" s="3">
        <v>312154.28999999998</v>
      </c>
    </row>
    <row r="153" spans="1:9" x14ac:dyDescent="0.25">
      <c r="A153" t="s">
        <v>0</v>
      </c>
      <c r="B153" t="s">
        <v>169</v>
      </c>
      <c r="C153" t="s">
        <v>172</v>
      </c>
      <c r="D153" t="str">
        <f>RIGHT(lista!$C153,4)</f>
        <v>2022</v>
      </c>
      <c r="E153" t="s">
        <v>947</v>
      </c>
      <c r="F153" s="1">
        <v>46019</v>
      </c>
      <c r="G153" s="3">
        <f>Tabela1[[#This Row],[valor_contrapartida]]+Tabela1[[#This Row],[valor_orgao]]</f>
        <v>945002.22</v>
      </c>
      <c r="H153" s="3">
        <v>645002.22</v>
      </c>
      <c r="I153" s="3">
        <v>300000</v>
      </c>
    </row>
    <row r="154" spans="1:9" x14ac:dyDescent="0.25">
      <c r="A154" t="s">
        <v>0</v>
      </c>
      <c r="B154" t="s">
        <v>169</v>
      </c>
      <c r="C154" t="s">
        <v>173</v>
      </c>
      <c r="D154" t="str">
        <f>RIGHT(lista!$C154,4)</f>
        <v>2022</v>
      </c>
      <c r="E154" t="s">
        <v>948</v>
      </c>
      <c r="F154" s="1">
        <v>46384</v>
      </c>
      <c r="G154" s="3">
        <f>Tabela1[[#This Row],[valor_contrapartida]]+Tabela1[[#This Row],[valor_orgao]]</f>
        <v>1176210.21</v>
      </c>
      <c r="H154" s="3">
        <v>194579.54</v>
      </c>
      <c r="I154" s="3">
        <v>981630.67</v>
      </c>
    </row>
    <row r="155" spans="1:9" x14ac:dyDescent="0.25">
      <c r="A155" t="s">
        <v>0</v>
      </c>
      <c r="B155" t="s">
        <v>174</v>
      </c>
      <c r="C155" t="s">
        <v>175</v>
      </c>
      <c r="D155" t="str">
        <f>RIGHT(lista!$C155,4)</f>
        <v>2022</v>
      </c>
      <c r="E155" t="s">
        <v>949</v>
      </c>
      <c r="F155" s="1">
        <v>45473</v>
      </c>
      <c r="G155" s="3">
        <f>Tabela1[[#This Row],[valor_contrapartida]]+Tabela1[[#This Row],[valor_orgao]]</f>
        <v>345043.67000000004</v>
      </c>
      <c r="H155" s="3">
        <v>145043.67000000001</v>
      </c>
      <c r="I155" s="3">
        <v>200000</v>
      </c>
    </row>
    <row r="156" spans="1:9" x14ac:dyDescent="0.25">
      <c r="A156" t="s">
        <v>0</v>
      </c>
      <c r="B156" t="s">
        <v>174</v>
      </c>
      <c r="C156" t="s">
        <v>176</v>
      </c>
      <c r="D156" t="str">
        <f>RIGHT(lista!$C156,4)</f>
        <v>2022</v>
      </c>
      <c r="E156" t="s">
        <v>950</v>
      </c>
      <c r="F156" s="1">
        <v>46204</v>
      </c>
      <c r="G156" s="3">
        <f>Tabela1[[#This Row],[valor_contrapartida]]+Tabela1[[#This Row],[valor_orgao]]</f>
        <v>2246637.31</v>
      </c>
      <c r="H156" s="3">
        <v>546637.31000000006</v>
      </c>
      <c r="I156" s="3">
        <v>1700000</v>
      </c>
    </row>
    <row r="157" spans="1:9" x14ac:dyDescent="0.25">
      <c r="A157" t="s">
        <v>0</v>
      </c>
      <c r="B157" t="s">
        <v>174</v>
      </c>
      <c r="C157" t="s">
        <v>403</v>
      </c>
      <c r="D157" t="str">
        <f>RIGHT(lista!$C157,4)</f>
        <v>2021</v>
      </c>
      <c r="E157" t="s">
        <v>951</v>
      </c>
      <c r="F157" s="1">
        <v>46067</v>
      </c>
      <c r="G157" s="3">
        <f>Tabela1[[#This Row],[valor_contrapartida]]+Tabela1[[#This Row],[valor_orgao]]</f>
        <v>4183229.73</v>
      </c>
      <c r="H157" s="3">
        <v>627484.46</v>
      </c>
      <c r="I157" s="3">
        <v>3555745.27</v>
      </c>
    </row>
    <row r="158" spans="1:9" x14ac:dyDescent="0.25">
      <c r="A158" t="s">
        <v>0</v>
      </c>
      <c r="B158" t="s">
        <v>177</v>
      </c>
      <c r="C158" t="s">
        <v>178</v>
      </c>
      <c r="D158" t="str">
        <f>RIGHT(lista!$C158,4)</f>
        <v>2020</v>
      </c>
      <c r="E158" t="s">
        <v>952</v>
      </c>
      <c r="F158" s="1">
        <v>46040</v>
      </c>
      <c r="G158" s="3">
        <f>Tabela1[[#This Row],[valor_contrapartida]]+Tabela1[[#This Row],[valor_orgao]]</f>
        <v>3533100</v>
      </c>
      <c r="H158" s="3">
        <v>533100</v>
      </c>
      <c r="I158" s="3">
        <v>3000000</v>
      </c>
    </row>
    <row r="159" spans="1:9" x14ac:dyDescent="0.25">
      <c r="A159" t="s">
        <v>0</v>
      </c>
      <c r="B159" t="s">
        <v>177</v>
      </c>
      <c r="C159" t="s">
        <v>179</v>
      </c>
      <c r="D159" t="str">
        <f>RIGHT(lista!$C159,4)</f>
        <v>2022</v>
      </c>
      <c r="E159" t="s">
        <v>953</v>
      </c>
      <c r="F159" s="1">
        <v>46197</v>
      </c>
      <c r="G159" s="3">
        <f>Tabela1[[#This Row],[valor_contrapartida]]+Tabela1[[#This Row],[valor_orgao]]</f>
        <v>24071789.129999999</v>
      </c>
      <c r="H159" s="3">
        <v>2407179.13</v>
      </c>
      <c r="I159" s="3">
        <v>21664610</v>
      </c>
    </row>
    <row r="160" spans="1:9" x14ac:dyDescent="0.25">
      <c r="A160" t="s">
        <v>0</v>
      </c>
      <c r="B160" t="s">
        <v>180</v>
      </c>
      <c r="C160" t="s">
        <v>181</v>
      </c>
      <c r="D160" t="str">
        <f>RIGHT(lista!$C160,4)</f>
        <v>2022</v>
      </c>
      <c r="E160" t="s">
        <v>954</v>
      </c>
      <c r="F160" s="1">
        <v>45838</v>
      </c>
      <c r="G160" s="3">
        <f>Tabela1[[#This Row],[valor_contrapartida]]+Tabela1[[#This Row],[valor_orgao]]</f>
        <v>1913700.17</v>
      </c>
      <c r="H160" s="3">
        <v>154636.37</v>
      </c>
      <c r="I160" s="3">
        <v>1759063.8</v>
      </c>
    </row>
    <row r="161" spans="1:9" x14ac:dyDescent="0.25">
      <c r="A161" t="s">
        <v>0</v>
      </c>
      <c r="B161" t="s">
        <v>180</v>
      </c>
      <c r="C161" t="s">
        <v>182</v>
      </c>
      <c r="D161" t="str">
        <f>RIGHT(lista!$C161,4)</f>
        <v>2024</v>
      </c>
      <c r="E161" t="s">
        <v>955</v>
      </c>
      <c r="F161" s="1">
        <v>46192</v>
      </c>
      <c r="G161" s="3">
        <f>Tabela1[[#This Row],[valor_contrapartida]]+Tabela1[[#This Row],[valor_orgao]]</f>
        <v>1988078.78</v>
      </c>
      <c r="H161" s="3">
        <v>83380.479999999996</v>
      </c>
      <c r="I161" s="3">
        <v>1904698.3</v>
      </c>
    </row>
    <row r="162" spans="1:9" x14ac:dyDescent="0.25">
      <c r="A162" t="s">
        <v>0</v>
      </c>
      <c r="B162" t="s">
        <v>183</v>
      </c>
      <c r="C162" t="s">
        <v>184</v>
      </c>
      <c r="D162" t="str">
        <f>RIGHT(lista!$C162,4)</f>
        <v>2022</v>
      </c>
      <c r="E162" t="s">
        <v>956</v>
      </c>
      <c r="F162" s="1">
        <v>46089</v>
      </c>
      <c r="G162" s="3">
        <f>Tabela1[[#This Row],[valor_contrapartida]]+Tabela1[[#This Row],[valor_orgao]]</f>
        <v>5620922.21</v>
      </c>
      <c r="H162" s="3">
        <v>281046.11</v>
      </c>
      <c r="I162" s="3">
        <v>5339876.0999999996</v>
      </c>
    </row>
    <row r="163" spans="1:9" x14ac:dyDescent="0.25">
      <c r="A163" t="s">
        <v>0</v>
      </c>
      <c r="B163" t="s">
        <v>183</v>
      </c>
      <c r="C163" t="s">
        <v>185</v>
      </c>
      <c r="D163" t="str">
        <f>RIGHT(lista!$C163,4)</f>
        <v>2022</v>
      </c>
      <c r="E163" t="s">
        <v>957</v>
      </c>
      <c r="F163" s="1">
        <v>45839</v>
      </c>
      <c r="G163" s="3">
        <f>Tabela1[[#This Row],[valor_contrapartida]]+Tabela1[[#This Row],[valor_orgao]]</f>
        <v>704220.71</v>
      </c>
      <c r="H163" s="3">
        <v>204220.71</v>
      </c>
      <c r="I163" s="3">
        <v>500000</v>
      </c>
    </row>
    <row r="164" spans="1:9" x14ac:dyDescent="0.25">
      <c r="A164" t="s">
        <v>0</v>
      </c>
      <c r="B164" t="s">
        <v>183</v>
      </c>
      <c r="C164" t="s">
        <v>186</v>
      </c>
      <c r="D164" t="str">
        <f>RIGHT(lista!$C164,4)</f>
        <v>2024</v>
      </c>
      <c r="E164" t="s">
        <v>958</v>
      </c>
      <c r="F164" s="1">
        <v>46193</v>
      </c>
      <c r="G164" s="3">
        <f>Tabela1[[#This Row],[valor_contrapartida]]+Tabela1[[#This Row],[valor_orgao]]</f>
        <v>2080598.29</v>
      </c>
      <c r="H164" s="3">
        <v>175899.99</v>
      </c>
      <c r="I164" s="3">
        <v>1904698.3</v>
      </c>
    </row>
    <row r="165" spans="1:9" x14ac:dyDescent="0.25">
      <c r="A165" t="s">
        <v>0</v>
      </c>
      <c r="B165" t="s">
        <v>187</v>
      </c>
      <c r="C165" t="s">
        <v>188</v>
      </c>
      <c r="D165" t="str">
        <f>RIGHT(lista!$C165,4)</f>
        <v>2016</v>
      </c>
      <c r="E165" t="s">
        <v>959</v>
      </c>
      <c r="F165" s="1">
        <v>45280</v>
      </c>
      <c r="G165" s="3">
        <f>Tabela1[[#This Row],[valor_contrapartida]]+Tabela1[[#This Row],[valor_orgao]]</f>
        <v>257892.34</v>
      </c>
      <c r="H165" s="3">
        <v>57892.34</v>
      </c>
      <c r="I165" s="3">
        <v>200000</v>
      </c>
    </row>
    <row r="166" spans="1:9" x14ac:dyDescent="0.25">
      <c r="A166" t="s">
        <v>0</v>
      </c>
      <c r="B166" t="s">
        <v>187</v>
      </c>
      <c r="C166" t="s">
        <v>189</v>
      </c>
      <c r="D166" t="str">
        <f>RIGHT(lista!$C166,4)</f>
        <v>2022</v>
      </c>
      <c r="E166" t="s">
        <v>960</v>
      </c>
      <c r="F166" s="1">
        <v>46353</v>
      </c>
      <c r="G166" s="3">
        <f>Tabela1[[#This Row],[valor_contrapartida]]+Tabela1[[#This Row],[valor_orgao]]</f>
        <v>8156846.4299999997</v>
      </c>
      <c r="H166" s="3">
        <v>407842.33</v>
      </c>
      <c r="I166" s="3">
        <v>7749004.0999999996</v>
      </c>
    </row>
    <row r="167" spans="1:9" x14ac:dyDescent="0.25">
      <c r="A167" t="s">
        <v>0</v>
      </c>
      <c r="B167" t="s">
        <v>187</v>
      </c>
      <c r="C167" t="s">
        <v>190</v>
      </c>
      <c r="D167" t="str">
        <f>RIGHT(lista!$C167,4)</f>
        <v>2022</v>
      </c>
      <c r="E167" t="s">
        <v>961</v>
      </c>
      <c r="F167" s="1">
        <v>45834</v>
      </c>
      <c r="G167" s="3">
        <f>Tabela1[[#This Row],[valor_contrapartida]]+Tabela1[[#This Row],[valor_orgao]]</f>
        <v>1103506.1100000001</v>
      </c>
      <c r="H167" s="3">
        <v>55175.31</v>
      </c>
      <c r="I167" s="3">
        <v>1048330.8</v>
      </c>
    </row>
    <row r="168" spans="1:9" x14ac:dyDescent="0.25">
      <c r="A168" t="s">
        <v>0</v>
      </c>
      <c r="B168" t="s">
        <v>191</v>
      </c>
      <c r="C168" t="s">
        <v>192</v>
      </c>
      <c r="D168" t="str">
        <f>RIGHT(lista!$C168,4)</f>
        <v>2022</v>
      </c>
      <c r="E168" t="s">
        <v>962</v>
      </c>
      <c r="F168" s="1">
        <v>46028</v>
      </c>
      <c r="G168" s="3">
        <f>Tabela1[[#This Row],[valor_contrapartida]]+Tabela1[[#This Row],[valor_orgao]]</f>
        <v>2289590.34</v>
      </c>
      <c r="H168" s="3">
        <v>228959.04</v>
      </c>
      <c r="I168" s="3">
        <v>2060631.3</v>
      </c>
    </row>
    <row r="169" spans="1:9" x14ac:dyDescent="0.25">
      <c r="A169" t="s">
        <v>0</v>
      </c>
      <c r="B169" t="s">
        <v>191</v>
      </c>
      <c r="C169" t="s">
        <v>193</v>
      </c>
      <c r="D169" t="str">
        <f>RIGHT(lista!$C169,4)</f>
        <v>2022</v>
      </c>
      <c r="E169" t="s">
        <v>963</v>
      </c>
      <c r="F169" s="1">
        <v>46204</v>
      </c>
      <c r="G169" s="3">
        <f>Tabela1[[#This Row],[valor_contrapartida]]+Tabela1[[#This Row],[valor_orgao]]</f>
        <v>542859.93999999994</v>
      </c>
      <c r="H169" s="3">
        <v>192859.94</v>
      </c>
      <c r="I169" s="3">
        <v>350000</v>
      </c>
    </row>
    <row r="170" spans="1:9" x14ac:dyDescent="0.25">
      <c r="A170" t="s">
        <v>0</v>
      </c>
      <c r="B170" t="s">
        <v>191</v>
      </c>
      <c r="C170" t="s">
        <v>404</v>
      </c>
      <c r="D170" t="str">
        <f>RIGHT(lista!$C170,4)</f>
        <v>2021</v>
      </c>
      <c r="E170" t="s">
        <v>964</v>
      </c>
      <c r="F170" s="1">
        <v>45992</v>
      </c>
      <c r="G170" s="3">
        <f>Tabela1[[#This Row],[valor_contrapartida]]+Tabela1[[#This Row],[valor_orgao]]</f>
        <v>2089503.33</v>
      </c>
      <c r="H170" s="3">
        <v>89503.33</v>
      </c>
      <c r="I170" s="3">
        <v>2000000</v>
      </c>
    </row>
    <row r="171" spans="1:9" x14ac:dyDescent="0.25">
      <c r="A171" t="s">
        <v>0</v>
      </c>
      <c r="B171" t="s">
        <v>194</v>
      </c>
      <c r="C171" t="s">
        <v>195</v>
      </c>
      <c r="D171" t="str">
        <f>RIGHT(lista!$C171,4)</f>
        <v>2022</v>
      </c>
      <c r="E171" t="s">
        <v>965</v>
      </c>
      <c r="F171" s="1">
        <v>45769</v>
      </c>
      <c r="G171" s="3">
        <f>Tabela1[[#This Row],[valor_contrapartida]]+Tabela1[[#This Row],[valor_orgao]]</f>
        <v>423000</v>
      </c>
      <c r="H171" s="3">
        <v>23011.21</v>
      </c>
      <c r="I171" s="3">
        <v>399988.79</v>
      </c>
    </row>
    <row r="172" spans="1:9" x14ac:dyDescent="0.25">
      <c r="A172" t="s">
        <v>0</v>
      </c>
      <c r="B172" t="s">
        <v>194</v>
      </c>
      <c r="C172" t="s">
        <v>196</v>
      </c>
      <c r="D172" t="str">
        <f>RIGHT(lista!$C172,4)</f>
        <v>2022</v>
      </c>
      <c r="E172" t="s">
        <v>966</v>
      </c>
      <c r="F172" s="1">
        <v>46310</v>
      </c>
      <c r="G172" s="3">
        <f>Tabela1[[#This Row],[valor_contrapartida]]+Tabela1[[#This Row],[valor_orgao]]</f>
        <v>1772000</v>
      </c>
      <c r="H172" s="3">
        <v>72000</v>
      </c>
      <c r="I172" s="3">
        <v>1700000</v>
      </c>
    </row>
    <row r="173" spans="1:9" x14ac:dyDescent="0.25">
      <c r="A173" t="s">
        <v>0</v>
      </c>
      <c r="B173" t="s">
        <v>194</v>
      </c>
      <c r="C173" t="s">
        <v>197</v>
      </c>
      <c r="D173" t="str">
        <f>RIGHT(lista!$C173,4)</f>
        <v>2022</v>
      </c>
      <c r="E173" t="s">
        <v>967</v>
      </c>
      <c r="F173" s="1">
        <v>46385</v>
      </c>
      <c r="G173" s="3">
        <f>Tabela1[[#This Row],[valor_contrapartida]]+Tabela1[[#This Row],[valor_orgao]]</f>
        <v>522996.43</v>
      </c>
      <c r="H173" s="3">
        <v>20919.86</v>
      </c>
      <c r="I173" s="3">
        <v>502076.57</v>
      </c>
    </row>
    <row r="174" spans="1:9" x14ac:dyDescent="0.25">
      <c r="A174" t="s">
        <v>0</v>
      </c>
      <c r="B174" t="s">
        <v>198</v>
      </c>
      <c r="C174" t="s">
        <v>199</v>
      </c>
      <c r="D174" t="str">
        <f>RIGHT(lista!$C174,4)</f>
        <v>2022</v>
      </c>
      <c r="E174" t="s">
        <v>968</v>
      </c>
      <c r="F174" s="1">
        <v>46388</v>
      </c>
      <c r="G174" s="3">
        <f>Tabela1[[#This Row],[valor_contrapartida]]+Tabela1[[#This Row],[valor_orgao]]</f>
        <v>3128615.68</v>
      </c>
      <c r="H174" s="3">
        <v>128615.67999999999</v>
      </c>
      <c r="I174" s="3">
        <v>3000000</v>
      </c>
    </row>
    <row r="175" spans="1:9" x14ac:dyDescent="0.25">
      <c r="A175" t="s">
        <v>0</v>
      </c>
      <c r="B175" t="s">
        <v>200</v>
      </c>
      <c r="C175" t="s">
        <v>201</v>
      </c>
      <c r="D175" t="str">
        <f>RIGHT(lista!$C175,4)</f>
        <v>2023</v>
      </c>
      <c r="E175" t="s">
        <v>969</v>
      </c>
      <c r="F175" s="1">
        <v>46006</v>
      </c>
      <c r="G175" s="3">
        <f>Tabela1[[#This Row],[valor_contrapartida]]+Tabela1[[#This Row],[valor_orgao]]</f>
        <v>12109906.720000001</v>
      </c>
      <c r="H175" s="3">
        <v>1210990.72</v>
      </c>
      <c r="I175" s="3">
        <v>10898916</v>
      </c>
    </row>
    <row r="176" spans="1:9" x14ac:dyDescent="0.25">
      <c r="A176" t="s">
        <v>0</v>
      </c>
      <c r="B176" t="s">
        <v>202</v>
      </c>
      <c r="C176" t="s">
        <v>406</v>
      </c>
      <c r="D176" t="str">
        <f>RIGHT(lista!$C176,4)</f>
        <v>2024</v>
      </c>
      <c r="E176" t="s">
        <v>970</v>
      </c>
      <c r="F176" s="1">
        <v>46094</v>
      </c>
      <c r="G176" s="3">
        <f>Tabela1[[#This Row],[valor_contrapartida]]+Tabela1[[#This Row],[valor_orgao]]</f>
        <v>1450795.9500000002</v>
      </c>
      <c r="H176" s="3">
        <v>58031.839999999997</v>
      </c>
      <c r="I176" s="3">
        <v>1392764.11</v>
      </c>
    </row>
    <row r="177" spans="1:9" x14ac:dyDescent="0.25">
      <c r="A177" t="s">
        <v>0</v>
      </c>
      <c r="B177" t="s">
        <v>202</v>
      </c>
      <c r="C177" t="s">
        <v>405</v>
      </c>
      <c r="D177" t="str">
        <f>RIGHT(lista!$C177,4)</f>
        <v>2024</v>
      </c>
      <c r="E177" t="s">
        <v>971</v>
      </c>
      <c r="F177" s="1">
        <v>46108</v>
      </c>
      <c r="G177" s="3">
        <f>Tabela1[[#This Row],[valor_contrapartida]]+Tabela1[[#This Row],[valor_orgao]]</f>
        <v>635891.03999999992</v>
      </c>
      <c r="H177" s="3">
        <v>47817.47</v>
      </c>
      <c r="I177" s="3">
        <v>588073.56999999995</v>
      </c>
    </row>
    <row r="178" spans="1:9" x14ac:dyDescent="0.25">
      <c r="A178" t="s">
        <v>0</v>
      </c>
      <c r="B178" t="s">
        <v>202</v>
      </c>
      <c r="C178" t="s">
        <v>203</v>
      </c>
      <c r="D178" t="str">
        <f>RIGHT(lista!$C178,4)</f>
        <v>2022</v>
      </c>
      <c r="E178" t="s">
        <v>972</v>
      </c>
      <c r="F178" s="1">
        <v>45839</v>
      </c>
      <c r="G178" s="3">
        <f>Tabela1[[#This Row],[valor_contrapartida]]+Tabela1[[#This Row],[valor_orgao]]</f>
        <v>410588.49</v>
      </c>
      <c r="H178" s="3">
        <v>16423.54</v>
      </c>
      <c r="I178" s="3">
        <v>394164.95</v>
      </c>
    </row>
    <row r="179" spans="1:9" x14ac:dyDescent="0.25">
      <c r="A179" t="s">
        <v>0</v>
      </c>
      <c r="B179" t="s">
        <v>202</v>
      </c>
      <c r="C179" t="s">
        <v>204</v>
      </c>
      <c r="D179" t="str">
        <f>RIGHT(lista!$C179,4)</f>
        <v>2022</v>
      </c>
      <c r="E179" t="s">
        <v>973</v>
      </c>
      <c r="G179" s="3">
        <f>Tabela1[[#This Row],[valor_contrapartida]]+Tabela1[[#This Row],[valor_orgao]]</f>
        <v>197260.48</v>
      </c>
      <c r="H179" s="3">
        <v>7890.41</v>
      </c>
      <c r="I179" s="3">
        <v>189370.07</v>
      </c>
    </row>
    <row r="180" spans="1:9" x14ac:dyDescent="0.25">
      <c r="A180" t="s">
        <v>0</v>
      </c>
      <c r="B180" t="s">
        <v>202</v>
      </c>
      <c r="C180" t="s">
        <v>205</v>
      </c>
      <c r="D180" t="str">
        <f>RIGHT(lista!$C180,4)</f>
        <v>2022</v>
      </c>
      <c r="E180" t="s">
        <v>974</v>
      </c>
      <c r="F180" s="1">
        <v>45379</v>
      </c>
      <c r="G180" s="3">
        <f>Tabela1[[#This Row],[valor_contrapartida]]+Tabela1[[#This Row],[valor_orgao]]</f>
        <v>197260.48</v>
      </c>
      <c r="H180" s="3">
        <v>7890.41</v>
      </c>
      <c r="I180" s="3">
        <v>189370.07</v>
      </c>
    </row>
    <row r="181" spans="1:9" x14ac:dyDescent="0.25">
      <c r="A181" t="s">
        <v>0</v>
      </c>
      <c r="B181" t="s">
        <v>202</v>
      </c>
      <c r="C181" t="s">
        <v>206</v>
      </c>
      <c r="D181" t="str">
        <f>RIGHT(lista!$C181,4)</f>
        <v>2022</v>
      </c>
      <c r="E181" t="s">
        <v>975</v>
      </c>
      <c r="F181" s="1">
        <v>45470</v>
      </c>
      <c r="G181" s="3">
        <f>Tabela1[[#This Row],[valor_contrapartida]]+Tabela1[[#This Row],[valor_orgao]]</f>
        <v>439385.94</v>
      </c>
      <c r="H181" s="3">
        <v>17575.439999999999</v>
      </c>
      <c r="I181" s="3">
        <v>421810.5</v>
      </c>
    </row>
    <row r="182" spans="1:9" x14ac:dyDescent="0.25">
      <c r="A182" t="s">
        <v>0</v>
      </c>
      <c r="B182" t="s">
        <v>202</v>
      </c>
      <c r="C182" t="s">
        <v>207</v>
      </c>
      <c r="D182" t="str">
        <f>RIGHT(lista!$C182,4)</f>
        <v>2022</v>
      </c>
      <c r="E182" t="s">
        <v>976</v>
      </c>
      <c r="F182" s="1">
        <v>46204</v>
      </c>
      <c r="G182" s="3">
        <f>Tabela1[[#This Row],[valor_contrapartida]]+Tabela1[[#This Row],[valor_orgao]]</f>
        <v>8781563.879999999</v>
      </c>
      <c r="H182" s="3">
        <v>1428817.88</v>
      </c>
      <c r="I182" s="3">
        <v>7352746</v>
      </c>
    </row>
    <row r="183" spans="1:9" x14ac:dyDescent="0.25">
      <c r="A183" t="s">
        <v>0</v>
      </c>
      <c r="B183" t="s">
        <v>208</v>
      </c>
      <c r="C183" t="s">
        <v>209</v>
      </c>
      <c r="D183" t="str">
        <f>RIGHT(lista!$C183,4)</f>
        <v>2023</v>
      </c>
      <c r="E183" t="s">
        <v>977</v>
      </c>
      <c r="F183" s="1">
        <v>45997</v>
      </c>
      <c r="G183" s="3">
        <f>Tabela1[[#This Row],[valor_contrapartida]]+Tabela1[[#This Row],[valor_orgao]]</f>
        <v>2500042.9</v>
      </c>
      <c r="H183" s="3">
        <v>100002</v>
      </c>
      <c r="I183" s="3">
        <v>2400040.9</v>
      </c>
    </row>
    <row r="184" spans="1:9" x14ac:dyDescent="0.25">
      <c r="A184" t="s">
        <v>0</v>
      </c>
      <c r="B184" t="s">
        <v>210</v>
      </c>
      <c r="C184" t="s">
        <v>211</v>
      </c>
      <c r="D184" t="str">
        <f>RIGHT(lista!$C184,4)</f>
        <v>2022</v>
      </c>
      <c r="E184" t="s">
        <v>978</v>
      </c>
      <c r="F184" s="1">
        <v>45687</v>
      </c>
      <c r="G184" s="3">
        <f>Tabela1[[#This Row],[valor_contrapartida]]+Tabela1[[#This Row],[valor_orgao]]</f>
        <v>276555.21000000002</v>
      </c>
      <c r="H184" s="3">
        <v>76555.210000000006</v>
      </c>
      <c r="I184" s="3">
        <v>200000</v>
      </c>
    </row>
    <row r="185" spans="1:9" x14ac:dyDescent="0.25">
      <c r="A185" t="s">
        <v>0</v>
      </c>
      <c r="B185" t="s">
        <v>210</v>
      </c>
      <c r="C185" t="s">
        <v>212</v>
      </c>
      <c r="D185" t="str">
        <f>RIGHT(lista!$C185,4)</f>
        <v>2022</v>
      </c>
      <c r="E185" t="s">
        <v>979</v>
      </c>
      <c r="F185" s="1">
        <v>46194</v>
      </c>
      <c r="G185" s="3">
        <f>Tabela1[[#This Row],[valor_contrapartida]]+Tabela1[[#This Row],[valor_orgao]]</f>
        <v>2717774.49</v>
      </c>
      <c r="H185" s="3">
        <v>108710.99</v>
      </c>
      <c r="I185" s="3">
        <v>2609063.5</v>
      </c>
    </row>
    <row r="186" spans="1:9" x14ac:dyDescent="0.25">
      <c r="A186" t="s">
        <v>0</v>
      </c>
      <c r="B186" t="s">
        <v>210</v>
      </c>
      <c r="C186" t="s">
        <v>213</v>
      </c>
      <c r="D186" t="str">
        <f>RIGHT(lista!$C186,4)</f>
        <v>2022</v>
      </c>
      <c r="E186" t="s">
        <v>980</v>
      </c>
      <c r="F186" s="1">
        <v>46203</v>
      </c>
      <c r="G186" s="3">
        <f>Tabela1[[#This Row],[valor_contrapartida]]+Tabela1[[#This Row],[valor_orgao]]</f>
        <v>2166334.7400000002</v>
      </c>
      <c r="H186" s="3">
        <v>266334.74</v>
      </c>
      <c r="I186" s="3">
        <v>1900000</v>
      </c>
    </row>
    <row r="187" spans="1:9" x14ac:dyDescent="0.25">
      <c r="A187" t="s">
        <v>0</v>
      </c>
      <c r="B187" t="s">
        <v>210</v>
      </c>
      <c r="C187" t="s">
        <v>214</v>
      </c>
      <c r="D187" t="str">
        <f>RIGHT(lista!$C187,4)</f>
        <v>2022</v>
      </c>
      <c r="E187" t="s">
        <v>981</v>
      </c>
      <c r="F187" s="1">
        <v>45658</v>
      </c>
      <c r="G187" s="3">
        <f>Tabela1[[#This Row],[valor_contrapartida]]+Tabela1[[#This Row],[valor_orgao]]</f>
        <v>81204.06</v>
      </c>
      <c r="H187" s="3">
        <v>1785.03</v>
      </c>
      <c r="I187" s="3">
        <v>79419.03</v>
      </c>
    </row>
    <row r="188" spans="1:9" x14ac:dyDescent="0.25">
      <c r="A188" t="s">
        <v>0</v>
      </c>
      <c r="B188" t="s">
        <v>215</v>
      </c>
      <c r="C188" t="s">
        <v>216</v>
      </c>
      <c r="D188" t="str">
        <f>RIGHT(lista!$C188,4)</f>
        <v>2022</v>
      </c>
      <c r="E188" t="s">
        <v>982</v>
      </c>
      <c r="F188" s="1">
        <v>45837</v>
      </c>
      <c r="G188" s="3">
        <f>Tabela1[[#This Row],[valor_contrapartida]]+Tabela1[[#This Row],[valor_orgao]]</f>
        <v>6006919.7999999998</v>
      </c>
      <c r="H188" s="3">
        <v>240276.8</v>
      </c>
      <c r="I188" s="3">
        <v>5766643</v>
      </c>
    </row>
    <row r="189" spans="1:9" x14ac:dyDescent="0.25">
      <c r="A189" t="s">
        <v>0</v>
      </c>
      <c r="B189" t="s">
        <v>217</v>
      </c>
      <c r="C189" t="s">
        <v>218</v>
      </c>
      <c r="D189" t="str">
        <f>RIGHT(lista!$C189,4)</f>
        <v>2022</v>
      </c>
      <c r="E189" t="s">
        <v>983</v>
      </c>
      <c r="F189" s="1">
        <v>45973</v>
      </c>
      <c r="G189" s="3">
        <f>Tabela1[[#This Row],[valor_contrapartida]]+Tabela1[[#This Row],[valor_orgao]]</f>
        <v>424135.28</v>
      </c>
      <c r="H189" s="3">
        <v>24135.279999999999</v>
      </c>
      <c r="I189" s="3">
        <v>400000</v>
      </c>
    </row>
    <row r="190" spans="1:9" x14ac:dyDescent="0.25">
      <c r="A190" t="s">
        <v>0</v>
      </c>
      <c r="B190" t="s">
        <v>217</v>
      </c>
      <c r="C190" t="s">
        <v>219</v>
      </c>
      <c r="D190" t="str">
        <f>RIGHT(lista!$C190,4)</f>
        <v>2022</v>
      </c>
      <c r="E190" t="s">
        <v>984</v>
      </c>
      <c r="F190" s="1">
        <v>46203</v>
      </c>
      <c r="G190" s="3">
        <f>Tabela1[[#This Row],[valor_contrapartida]]+Tabela1[[#This Row],[valor_orgao]]</f>
        <v>977846.68</v>
      </c>
      <c r="H190" s="3">
        <v>39113.870000000003</v>
      </c>
      <c r="I190" s="3">
        <v>938732.81</v>
      </c>
    </row>
    <row r="191" spans="1:9" x14ac:dyDescent="0.25">
      <c r="A191" t="s">
        <v>0</v>
      </c>
      <c r="B191" t="s">
        <v>217</v>
      </c>
      <c r="C191" t="s">
        <v>220</v>
      </c>
      <c r="D191" t="str">
        <f>RIGHT(lista!$C191,4)</f>
        <v>2022</v>
      </c>
      <c r="E191" t="s">
        <v>985</v>
      </c>
      <c r="F191" s="1">
        <v>46197</v>
      </c>
      <c r="G191" s="3">
        <f>Tabela1[[#This Row],[valor_contrapartida]]+Tabela1[[#This Row],[valor_orgao]]</f>
        <v>8863789.7899999991</v>
      </c>
      <c r="H191" s="3">
        <v>354551.59</v>
      </c>
      <c r="I191" s="3">
        <v>8509238.1999999993</v>
      </c>
    </row>
    <row r="192" spans="1:9" x14ac:dyDescent="0.25">
      <c r="A192" t="s">
        <v>0</v>
      </c>
      <c r="B192" t="s">
        <v>217</v>
      </c>
      <c r="C192" t="s">
        <v>221</v>
      </c>
      <c r="D192" t="str">
        <f>RIGHT(lista!$C192,4)</f>
        <v>2022</v>
      </c>
      <c r="E192" t="s">
        <v>986</v>
      </c>
      <c r="F192" s="1">
        <v>45839</v>
      </c>
      <c r="G192" s="3">
        <f>Tabela1[[#This Row],[valor_contrapartida]]+Tabela1[[#This Row],[valor_orgao]]</f>
        <v>581194.96000000008</v>
      </c>
      <c r="H192" s="3">
        <v>23247.8</v>
      </c>
      <c r="I192" s="3">
        <v>557947.16</v>
      </c>
    </row>
    <row r="193" spans="1:9" x14ac:dyDescent="0.25">
      <c r="A193" t="s">
        <v>0</v>
      </c>
      <c r="B193" t="s">
        <v>222</v>
      </c>
      <c r="C193" t="s">
        <v>223</v>
      </c>
      <c r="D193" t="str">
        <f>RIGHT(lista!$C193,4)</f>
        <v>2024</v>
      </c>
      <c r="E193" t="s">
        <v>987</v>
      </c>
      <c r="F193" s="1">
        <v>46193</v>
      </c>
      <c r="G193" s="3">
        <f>Tabela1[[#This Row],[valor_contrapartida]]+Tabela1[[#This Row],[valor_orgao]]</f>
        <v>2004633.46</v>
      </c>
      <c r="H193" s="3">
        <v>99935.16</v>
      </c>
      <c r="I193" s="3">
        <v>1904698.3</v>
      </c>
    </row>
    <row r="194" spans="1:9" x14ac:dyDescent="0.25">
      <c r="A194" t="s">
        <v>0</v>
      </c>
      <c r="B194" t="s">
        <v>224</v>
      </c>
      <c r="C194" t="s">
        <v>225</v>
      </c>
      <c r="D194" t="str">
        <f>RIGHT(lista!$C194,4)</f>
        <v>2024</v>
      </c>
      <c r="E194" t="s">
        <v>988</v>
      </c>
      <c r="F194" s="1">
        <v>46084</v>
      </c>
      <c r="G194" s="3">
        <f>Tabela1[[#This Row],[valor_contrapartida]]+Tabela1[[#This Row],[valor_orgao]]</f>
        <v>529206.23</v>
      </c>
      <c r="H194" s="3">
        <v>129206.23</v>
      </c>
      <c r="I194" s="3">
        <v>400000</v>
      </c>
    </row>
    <row r="195" spans="1:9" x14ac:dyDescent="0.25">
      <c r="A195" t="s">
        <v>0</v>
      </c>
      <c r="B195" t="s">
        <v>226</v>
      </c>
      <c r="C195" t="s">
        <v>227</v>
      </c>
      <c r="D195" t="str">
        <f>RIGHT(lista!$C195,4)</f>
        <v>2018</v>
      </c>
      <c r="E195" t="s">
        <v>989</v>
      </c>
      <c r="F195" s="1">
        <v>45996</v>
      </c>
      <c r="G195" s="3">
        <f>Tabela1[[#This Row],[valor_contrapartida]]+Tabela1[[#This Row],[valor_orgao]]</f>
        <v>2200000</v>
      </c>
      <c r="H195" s="3">
        <v>200000</v>
      </c>
      <c r="I195" s="3">
        <v>2000000</v>
      </c>
    </row>
    <row r="196" spans="1:9" x14ac:dyDescent="0.25">
      <c r="A196" t="s">
        <v>0</v>
      </c>
      <c r="B196" t="s">
        <v>226</v>
      </c>
      <c r="C196" t="s">
        <v>228</v>
      </c>
      <c r="D196" t="str">
        <f>RIGHT(lista!$C196,4)</f>
        <v>2022</v>
      </c>
      <c r="E196" t="s">
        <v>990</v>
      </c>
      <c r="F196" s="1">
        <v>45746</v>
      </c>
      <c r="G196" s="3">
        <f>Tabela1[[#This Row],[valor_contrapartida]]+Tabela1[[#This Row],[valor_orgao]]</f>
        <v>420348.05</v>
      </c>
      <c r="H196" s="3">
        <v>16813.919999999998</v>
      </c>
      <c r="I196" s="3">
        <v>403534.13</v>
      </c>
    </row>
    <row r="197" spans="1:9" x14ac:dyDescent="0.25">
      <c r="A197" t="s">
        <v>0</v>
      </c>
      <c r="B197" t="s">
        <v>226</v>
      </c>
      <c r="C197" t="s">
        <v>229</v>
      </c>
      <c r="D197" t="str">
        <f>RIGHT(lista!$C197,4)</f>
        <v>2022</v>
      </c>
      <c r="E197" t="s">
        <v>991</v>
      </c>
      <c r="F197" s="1">
        <v>45746</v>
      </c>
      <c r="G197" s="3">
        <f>Tabela1[[#This Row],[valor_contrapartida]]+Tabela1[[#This Row],[valor_orgao]]</f>
        <v>420348.05</v>
      </c>
      <c r="H197" s="3">
        <v>16813.919999999998</v>
      </c>
      <c r="I197" s="3">
        <v>403534.13</v>
      </c>
    </row>
    <row r="198" spans="1:9" x14ac:dyDescent="0.25">
      <c r="A198" t="s">
        <v>0</v>
      </c>
      <c r="B198" t="s">
        <v>230</v>
      </c>
      <c r="C198" t="s">
        <v>231</v>
      </c>
      <c r="D198" t="str">
        <f>RIGHT(lista!$C198,4)</f>
        <v>2024</v>
      </c>
      <c r="E198" t="s">
        <v>992</v>
      </c>
      <c r="F198" s="1">
        <v>45827</v>
      </c>
      <c r="G198" s="3">
        <f>Tabela1[[#This Row],[valor_contrapartida]]+Tabela1[[#This Row],[valor_orgao]]</f>
        <v>2006377.6700000002</v>
      </c>
      <c r="H198" s="3">
        <v>101679.3</v>
      </c>
      <c r="I198" s="3">
        <v>1904698.37</v>
      </c>
    </row>
    <row r="199" spans="1:9" x14ac:dyDescent="0.25">
      <c r="A199" t="s">
        <v>0</v>
      </c>
      <c r="B199" t="s">
        <v>232</v>
      </c>
      <c r="C199" t="s">
        <v>233</v>
      </c>
      <c r="D199" t="str">
        <f>RIGHT(lista!$C199,4)</f>
        <v>2022</v>
      </c>
      <c r="E199" t="s">
        <v>993</v>
      </c>
      <c r="F199" s="1">
        <v>46267</v>
      </c>
      <c r="G199" s="3">
        <f>Tabela1[[#This Row],[valor_contrapartida]]+Tabela1[[#This Row],[valor_orgao]]</f>
        <v>2489360.19</v>
      </c>
      <c r="H199" s="3">
        <v>488758.69</v>
      </c>
      <c r="I199" s="3">
        <v>2000601.5</v>
      </c>
    </row>
    <row r="200" spans="1:9" x14ac:dyDescent="0.25">
      <c r="A200" t="s">
        <v>0</v>
      </c>
      <c r="B200" t="s">
        <v>232</v>
      </c>
      <c r="C200" t="s">
        <v>234</v>
      </c>
      <c r="D200" t="str">
        <f>RIGHT(lista!$C200,4)</f>
        <v>2022</v>
      </c>
      <c r="E200" t="s">
        <v>994</v>
      </c>
      <c r="F200" s="1">
        <v>46187</v>
      </c>
      <c r="G200" s="3">
        <f>Tabela1[[#This Row],[valor_contrapartida]]+Tabela1[[#This Row],[valor_orgao]]</f>
        <v>10382967.15</v>
      </c>
      <c r="H200" s="3">
        <v>1882967.15</v>
      </c>
      <c r="I200" s="3">
        <v>8500000</v>
      </c>
    </row>
    <row r="201" spans="1:9" x14ac:dyDescent="0.25">
      <c r="A201" t="s">
        <v>0</v>
      </c>
      <c r="B201" t="s">
        <v>232</v>
      </c>
      <c r="C201" t="s">
        <v>235</v>
      </c>
      <c r="D201" t="str">
        <f>RIGHT(lista!$C201,4)</f>
        <v>2022</v>
      </c>
      <c r="E201" t="s">
        <v>995</v>
      </c>
      <c r="F201" s="1">
        <v>46183</v>
      </c>
      <c r="G201" s="3">
        <f>Tabela1[[#This Row],[valor_contrapartida]]+Tabela1[[#This Row],[valor_orgao]]</f>
        <v>1412231.1</v>
      </c>
      <c r="H201" s="3">
        <v>70611.55</v>
      </c>
      <c r="I201" s="3">
        <v>1341619.55</v>
      </c>
    </row>
    <row r="202" spans="1:9" x14ac:dyDescent="0.25">
      <c r="A202" t="s">
        <v>0</v>
      </c>
      <c r="B202" t="s">
        <v>232</v>
      </c>
      <c r="C202" t="s">
        <v>236</v>
      </c>
      <c r="D202" t="str">
        <f>RIGHT(lista!$C202,4)</f>
        <v>2022</v>
      </c>
      <c r="E202" t="s">
        <v>996</v>
      </c>
      <c r="F202" s="1">
        <v>46204</v>
      </c>
      <c r="G202" s="3">
        <f>Tabela1[[#This Row],[valor_contrapartida]]+Tabela1[[#This Row],[valor_orgao]]</f>
        <v>10064524.710000001</v>
      </c>
      <c r="H202" s="3">
        <v>4064524.71</v>
      </c>
      <c r="I202" s="3">
        <v>6000000</v>
      </c>
    </row>
    <row r="203" spans="1:9" x14ac:dyDescent="0.25">
      <c r="A203" t="s">
        <v>0</v>
      </c>
      <c r="B203" t="s">
        <v>232</v>
      </c>
      <c r="C203" t="s">
        <v>237</v>
      </c>
      <c r="D203" t="str">
        <f>RIGHT(lista!$C203,4)</f>
        <v>2024</v>
      </c>
      <c r="E203" t="s">
        <v>997</v>
      </c>
      <c r="F203" s="1">
        <v>46179</v>
      </c>
      <c r="G203" s="3">
        <f>Tabela1[[#This Row],[valor_contrapartida]]+Tabela1[[#This Row],[valor_orgao]]</f>
        <v>1356797.48</v>
      </c>
      <c r="H203" s="3">
        <v>656797.48</v>
      </c>
      <c r="I203" s="3">
        <v>700000</v>
      </c>
    </row>
    <row r="204" spans="1:9" x14ac:dyDescent="0.25">
      <c r="A204" t="s">
        <v>0</v>
      </c>
      <c r="B204" t="s">
        <v>232</v>
      </c>
      <c r="C204" t="s">
        <v>238</v>
      </c>
      <c r="D204" t="str">
        <f>RIGHT(lista!$C204,4)</f>
        <v>2024</v>
      </c>
      <c r="E204" t="s">
        <v>998</v>
      </c>
      <c r="F204" s="1">
        <v>46149</v>
      </c>
      <c r="G204" s="3">
        <f>Tabela1[[#This Row],[valor_contrapartida]]+Tabela1[[#This Row],[valor_orgao]]</f>
        <v>3537928.57</v>
      </c>
      <c r="H204" s="3">
        <v>537928.56999999995</v>
      </c>
      <c r="I204" s="3">
        <v>3000000</v>
      </c>
    </row>
    <row r="205" spans="1:9" x14ac:dyDescent="0.25">
      <c r="A205" t="s">
        <v>0</v>
      </c>
      <c r="B205" t="s">
        <v>239</v>
      </c>
      <c r="C205" t="s">
        <v>240</v>
      </c>
      <c r="D205" t="str">
        <f>RIGHT(lista!$C205,4)</f>
        <v>2022</v>
      </c>
      <c r="E205" t="s">
        <v>999</v>
      </c>
      <c r="F205" s="1">
        <v>46204</v>
      </c>
      <c r="G205" s="3">
        <f>Tabela1[[#This Row],[valor_contrapartida]]+Tabela1[[#This Row],[valor_orgao]]</f>
        <v>3625414.58</v>
      </c>
      <c r="H205" s="3">
        <v>145016.64000000001</v>
      </c>
      <c r="I205" s="3">
        <v>3480397.94</v>
      </c>
    </row>
    <row r="206" spans="1:9" x14ac:dyDescent="0.25">
      <c r="A206" t="s">
        <v>0</v>
      </c>
      <c r="B206" t="s">
        <v>239</v>
      </c>
      <c r="C206" t="s">
        <v>241</v>
      </c>
      <c r="D206" t="str">
        <f>RIGHT(lista!$C206,4)</f>
        <v>2024</v>
      </c>
      <c r="E206" t="s">
        <v>1000</v>
      </c>
      <c r="F206" s="1">
        <v>46201</v>
      </c>
      <c r="G206" s="3">
        <f>Tabela1[[#This Row],[valor_contrapartida]]+Tabela1[[#This Row],[valor_orgao]]</f>
        <v>406246.74</v>
      </c>
      <c r="H206" s="3">
        <v>16249.87</v>
      </c>
      <c r="I206" s="3">
        <v>389996.87</v>
      </c>
    </row>
    <row r="207" spans="1:9" x14ac:dyDescent="0.25">
      <c r="A207" t="s">
        <v>0</v>
      </c>
      <c r="B207" t="s">
        <v>239</v>
      </c>
      <c r="C207" t="s">
        <v>242</v>
      </c>
      <c r="D207" t="str">
        <f>RIGHT(lista!$C207,4)</f>
        <v>2024</v>
      </c>
      <c r="E207" t="s">
        <v>1001</v>
      </c>
      <c r="F207" s="1">
        <v>46207</v>
      </c>
      <c r="G207" s="3">
        <f>Tabela1[[#This Row],[valor_contrapartida]]+Tabela1[[#This Row],[valor_orgao]]</f>
        <v>479335.44</v>
      </c>
      <c r="H207" s="3">
        <v>129335.44</v>
      </c>
      <c r="I207" s="3">
        <v>350000</v>
      </c>
    </row>
    <row r="208" spans="1:9" x14ac:dyDescent="0.25">
      <c r="A208" t="s">
        <v>0</v>
      </c>
      <c r="B208" t="s">
        <v>239</v>
      </c>
      <c r="C208" t="s">
        <v>243</v>
      </c>
      <c r="D208" t="str">
        <f>RIGHT(lista!$C208,4)</f>
        <v>2025</v>
      </c>
      <c r="E208" t="s">
        <v>1002</v>
      </c>
      <c r="F208" s="1">
        <v>46129</v>
      </c>
      <c r="G208" s="3">
        <f>Tabela1[[#This Row],[valor_contrapartida]]+Tabela1[[#This Row],[valor_orgao]]</f>
        <v>251992.04</v>
      </c>
      <c r="H208" s="3">
        <v>51992.04</v>
      </c>
      <c r="I208" s="3">
        <v>200000</v>
      </c>
    </row>
    <row r="209" spans="1:9" x14ac:dyDescent="0.25">
      <c r="A209" t="s">
        <v>0</v>
      </c>
      <c r="B209" t="s">
        <v>244</v>
      </c>
      <c r="C209" t="s">
        <v>245</v>
      </c>
      <c r="D209" t="str">
        <f>RIGHT(lista!$C209,4)</f>
        <v>2022</v>
      </c>
      <c r="E209" t="s">
        <v>1003</v>
      </c>
      <c r="F209" s="1">
        <v>46193</v>
      </c>
      <c r="G209" s="3">
        <f>Tabela1[[#This Row],[valor_contrapartida]]+Tabela1[[#This Row],[valor_orgao]]</f>
        <v>3851541.81</v>
      </c>
      <c r="H209" s="3">
        <v>251541.81</v>
      </c>
      <c r="I209" s="3">
        <v>3600000</v>
      </c>
    </row>
    <row r="210" spans="1:9" x14ac:dyDescent="0.25">
      <c r="A210" t="s">
        <v>0</v>
      </c>
      <c r="B210" t="s">
        <v>244</v>
      </c>
      <c r="C210" t="s">
        <v>246</v>
      </c>
      <c r="D210" t="str">
        <f>RIGHT(lista!$C210,4)</f>
        <v>2022</v>
      </c>
      <c r="E210" t="s">
        <v>1004</v>
      </c>
      <c r="F210" s="1">
        <v>45464</v>
      </c>
      <c r="G210" s="3">
        <f>Tabela1[[#This Row],[valor_contrapartida]]+Tabela1[[#This Row],[valor_orgao]]</f>
        <v>314128.72000000003</v>
      </c>
      <c r="H210" s="3">
        <v>12565.15</v>
      </c>
      <c r="I210" s="3">
        <v>301563.57</v>
      </c>
    </row>
    <row r="211" spans="1:9" x14ac:dyDescent="0.25">
      <c r="A211" t="s">
        <v>0</v>
      </c>
      <c r="B211" t="s">
        <v>244</v>
      </c>
      <c r="C211" t="s">
        <v>247</v>
      </c>
      <c r="D211" t="str">
        <f>RIGHT(lista!$C211,4)</f>
        <v>2022</v>
      </c>
      <c r="E211" t="s">
        <v>1005</v>
      </c>
      <c r="F211" s="1">
        <v>45155</v>
      </c>
      <c r="G211" s="3">
        <f>Tabela1[[#This Row],[valor_contrapartida]]+Tabela1[[#This Row],[valor_orgao]]</f>
        <v>294433.43</v>
      </c>
      <c r="H211" s="3">
        <v>144433.43</v>
      </c>
      <c r="I211" s="3">
        <v>150000</v>
      </c>
    </row>
    <row r="212" spans="1:9" x14ac:dyDescent="0.25">
      <c r="A212" t="s">
        <v>0</v>
      </c>
      <c r="B212" t="s">
        <v>244</v>
      </c>
      <c r="C212" t="s">
        <v>407</v>
      </c>
      <c r="D212" t="str">
        <f>RIGHT(lista!$C212,4)</f>
        <v>2025</v>
      </c>
      <c r="E212" t="s">
        <v>1006</v>
      </c>
      <c r="F212" s="1">
        <v>46128</v>
      </c>
      <c r="G212" s="3">
        <f>Tabela1[[#This Row],[valor_contrapartida]]+Tabela1[[#This Row],[valor_orgao]]</f>
        <v>322728.89</v>
      </c>
      <c r="H212" s="3">
        <v>122728.89</v>
      </c>
      <c r="I212" s="3">
        <v>200000</v>
      </c>
    </row>
    <row r="213" spans="1:9" x14ac:dyDescent="0.25">
      <c r="A213" t="s">
        <v>0</v>
      </c>
      <c r="B213" t="s">
        <v>248</v>
      </c>
      <c r="C213" t="s">
        <v>249</v>
      </c>
      <c r="D213" t="str">
        <f>RIGHT(lista!$C213,4)</f>
        <v>2022</v>
      </c>
      <c r="E213" t="s">
        <v>1007</v>
      </c>
      <c r="F213" s="1">
        <v>46174</v>
      </c>
      <c r="G213" s="3">
        <f>Tabela1[[#This Row],[valor_contrapartida]]+Tabela1[[#This Row],[valor_orgao]]</f>
        <v>2203160.23</v>
      </c>
      <c r="H213" s="3">
        <v>110158.01</v>
      </c>
      <c r="I213" s="3">
        <v>2093002.22</v>
      </c>
    </row>
    <row r="214" spans="1:9" x14ac:dyDescent="0.25">
      <c r="A214" t="s">
        <v>0</v>
      </c>
      <c r="B214" t="s">
        <v>248</v>
      </c>
      <c r="C214" t="s">
        <v>408</v>
      </c>
      <c r="D214" t="str">
        <f>RIGHT(lista!$C214,4)</f>
        <v>2023</v>
      </c>
      <c r="E214" t="s">
        <v>1008</v>
      </c>
      <c r="F214" s="1">
        <v>46062</v>
      </c>
      <c r="G214" s="3">
        <f>Tabela1[[#This Row],[valor_contrapartida]]+Tabela1[[#This Row],[valor_orgao]]</f>
        <v>4558658.0100000007</v>
      </c>
      <c r="H214" s="3">
        <v>182346.32</v>
      </c>
      <c r="I214" s="3">
        <v>4376311.6900000004</v>
      </c>
    </row>
    <row r="215" spans="1:9" x14ac:dyDescent="0.25">
      <c r="A215" t="s">
        <v>0</v>
      </c>
      <c r="B215" t="s">
        <v>250</v>
      </c>
      <c r="C215" t="s">
        <v>251</v>
      </c>
      <c r="D215" t="str">
        <f>RIGHT(lista!$C215,4)</f>
        <v>2018</v>
      </c>
      <c r="E215" t="s">
        <v>1009</v>
      </c>
      <c r="F215" s="1">
        <v>46001</v>
      </c>
      <c r="G215" s="3">
        <f>Tabela1[[#This Row],[valor_contrapartida]]+Tabela1[[#This Row],[valor_orgao]]</f>
        <v>9785475.1099999994</v>
      </c>
      <c r="H215" s="3">
        <v>2785475.11</v>
      </c>
      <c r="I215" s="3">
        <v>7000000</v>
      </c>
    </row>
    <row r="216" spans="1:9" x14ac:dyDescent="0.25">
      <c r="A216" t="s">
        <v>0</v>
      </c>
      <c r="B216" t="s">
        <v>250</v>
      </c>
      <c r="C216" t="s">
        <v>252</v>
      </c>
      <c r="D216" t="str">
        <f>RIGHT(lista!$C216,4)</f>
        <v>2022</v>
      </c>
      <c r="E216" t="s">
        <v>1010</v>
      </c>
      <c r="F216" s="1">
        <v>45830</v>
      </c>
      <c r="G216" s="3">
        <f>Tabela1[[#This Row],[valor_contrapartida]]+Tabela1[[#This Row],[valor_orgao]]</f>
        <v>2065001.55</v>
      </c>
      <c r="H216" s="3">
        <v>1265001.55</v>
      </c>
      <c r="I216" s="3">
        <v>800000</v>
      </c>
    </row>
    <row r="217" spans="1:9" x14ac:dyDescent="0.25">
      <c r="A217" t="s">
        <v>0</v>
      </c>
      <c r="B217" t="s">
        <v>250</v>
      </c>
      <c r="C217" t="s">
        <v>253</v>
      </c>
      <c r="D217" t="str">
        <f>RIGHT(lista!$C217,4)</f>
        <v>2022</v>
      </c>
      <c r="E217" t="s">
        <v>1011</v>
      </c>
      <c r="F217" s="1">
        <v>46023</v>
      </c>
      <c r="G217" s="3">
        <f>Tabela1[[#This Row],[valor_contrapartida]]+Tabela1[[#This Row],[valor_orgao]]</f>
        <v>1107804.81</v>
      </c>
      <c r="H217" s="3">
        <v>607804.81000000006</v>
      </c>
      <c r="I217" s="3">
        <v>500000</v>
      </c>
    </row>
    <row r="218" spans="1:9" x14ac:dyDescent="0.25">
      <c r="A218" t="s">
        <v>0</v>
      </c>
      <c r="B218" t="s">
        <v>254</v>
      </c>
      <c r="C218" t="s">
        <v>255</v>
      </c>
      <c r="D218" t="str">
        <f>RIGHT(lista!$C218,4)</f>
        <v>2022</v>
      </c>
      <c r="E218" t="s">
        <v>1012</v>
      </c>
      <c r="F218" s="1">
        <v>46013</v>
      </c>
      <c r="G218" s="3">
        <f>Tabela1[[#This Row],[valor_contrapartida]]+Tabela1[[#This Row],[valor_orgao]]</f>
        <v>828204.32000000007</v>
      </c>
      <c r="H218" s="3">
        <v>33128.17</v>
      </c>
      <c r="I218" s="3">
        <v>795076.15</v>
      </c>
    </row>
    <row r="219" spans="1:9" x14ac:dyDescent="0.25">
      <c r="A219" t="s">
        <v>0</v>
      </c>
      <c r="B219" t="s">
        <v>254</v>
      </c>
      <c r="C219" t="s">
        <v>256</v>
      </c>
      <c r="D219" t="str">
        <f>RIGHT(lista!$C219,4)</f>
        <v>2024</v>
      </c>
      <c r="E219" t="s">
        <v>1013</v>
      </c>
      <c r="F219" s="1">
        <v>46094</v>
      </c>
      <c r="G219" s="3">
        <f>Tabela1[[#This Row],[valor_contrapartida]]+Tabela1[[#This Row],[valor_orgao]]</f>
        <v>4035037.83</v>
      </c>
      <c r="H219" s="3">
        <v>161401.51</v>
      </c>
      <c r="I219" s="3">
        <v>3873636.32</v>
      </c>
    </row>
    <row r="220" spans="1:9" x14ac:dyDescent="0.25">
      <c r="A220" t="s">
        <v>0</v>
      </c>
      <c r="B220" t="s">
        <v>254</v>
      </c>
      <c r="C220" t="s">
        <v>257</v>
      </c>
      <c r="D220" t="str">
        <f>RIGHT(lista!$C220,4)</f>
        <v>2024</v>
      </c>
      <c r="E220" t="s">
        <v>1014</v>
      </c>
      <c r="F220" s="1">
        <v>46018</v>
      </c>
      <c r="G220" s="3">
        <f>Tabela1[[#This Row],[valor_contrapartida]]+Tabela1[[#This Row],[valor_orgao]]</f>
        <v>435066.4</v>
      </c>
      <c r="H220" s="3">
        <v>17402.650000000001</v>
      </c>
      <c r="I220" s="3">
        <v>417663.75</v>
      </c>
    </row>
    <row r="221" spans="1:9" x14ac:dyDescent="0.25">
      <c r="A221" t="s">
        <v>0</v>
      </c>
      <c r="B221" t="s">
        <v>258</v>
      </c>
      <c r="C221" t="s">
        <v>259</v>
      </c>
      <c r="D221" t="str">
        <f>RIGHT(lista!$C221,4)</f>
        <v>2021</v>
      </c>
      <c r="E221" t="s">
        <v>1015</v>
      </c>
      <c r="F221" s="1">
        <v>46365</v>
      </c>
      <c r="G221" s="3">
        <f>Tabela1[[#This Row],[valor_contrapartida]]+Tabela1[[#This Row],[valor_orgao]]</f>
        <v>919862.67</v>
      </c>
      <c r="H221" s="3">
        <v>36794.51</v>
      </c>
      <c r="I221" s="3">
        <v>883068.16</v>
      </c>
    </row>
    <row r="222" spans="1:9" x14ac:dyDescent="0.25">
      <c r="A222" t="s">
        <v>0</v>
      </c>
      <c r="B222" t="s">
        <v>258</v>
      </c>
      <c r="C222" t="s">
        <v>260</v>
      </c>
      <c r="D222" t="str">
        <f>RIGHT(lista!$C222,4)</f>
        <v>2022</v>
      </c>
      <c r="E222" t="s">
        <v>1016</v>
      </c>
      <c r="F222" s="1">
        <v>45654</v>
      </c>
      <c r="G222" s="3">
        <f>Tabela1[[#This Row],[valor_contrapartida]]+Tabela1[[#This Row],[valor_orgao]]</f>
        <v>267440.70999999996</v>
      </c>
      <c r="H222" s="3">
        <v>10697.63</v>
      </c>
      <c r="I222" s="3">
        <v>256743.08</v>
      </c>
    </row>
    <row r="223" spans="1:9" x14ac:dyDescent="0.25">
      <c r="A223" t="s">
        <v>0</v>
      </c>
      <c r="B223" t="s">
        <v>258</v>
      </c>
      <c r="C223" t="s">
        <v>261</v>
      </c>
      <c r="D223" t="str">
        <f>RIGHT(lista!$C223,4)</f>
        <v>2022</v>
      </c>
      <c r="E223" t="s">
        <v>1017</v>
      </c>
      <c r="F223" s="1">
        <v>46204</v>
      </c>
      <c r="G223" s="3">
        <f>Tabela1[[#This Row],[valor_contrapartida]]+Tabela1[[#This Row],[valor_orgao]]</f>
        <v>3729086.9699999997</v>
      </c>
      <c r="H223" s="3">
        <v>578462.88</v>
      </c>
      <c r="I223" s="3">
        <v>3150624.09</v>
      </c>
    </row>
    <row r="224" spans="1:9" x14ac:dyDescent="0.25">
      <c r="A224" t="s">
        <v>0</v>
      </c>
      <c r="B224" t="s">
        <v>258</v>
      </c>
      <c r="C224" t="s">
        <v>262</v>
      </c>
      <c r="D224" t="str">
        <f>RIGHT(lista!$C224,4)</f>
        <v>2022</v>
      </c>
      <c r="E224" t="s">
        <v>1018</v>
      </c>
      <c r="F224" s="1">
        <v>45474</v>
      </c>
      <c r="G224" s="3">
        <f>Tabela1[[#This Row],[valor_contrapartida]]+Tabela1[[#This Row],[valor_orgao]]</f>
        <v>329334.53000000003</v>
      </c>
      <c r="H224" s="3">
        <v>29334.53</v>
      </c>
      <c r="I224" s="3">
        <v>300000</v>
      </c>
    </row>
    <row r="225" spans="1:9" x14ac:dyDescent="0.25">
      <c r="A225" t="s">
        <v>0</v>
      </c>
      <c r="B225" t="s">
        <v>258</v>
      </c>
      <c r="C225" t="s">
        <v>263</v>
      </c>
      <c r="D225" t="str">
        <f>RIGHT(lista!$C225,4)</f>
        <v>2024</v>
      </c>
      <c r="E225" t="s">
        <v>1019</v>
      </c>
      <c r="F225" s="1">
        <v>46116</v>
      </c>
      <c r="G225" s="3">
        <f>Tabela1[[#This Row],[valor_contrapartida]]+Tabela1[[#This Row],[valor_orgao]]</f>
        <v>1239832.29</v>
      </c>
      <c r="H225" s="3">
        <v>49593.29</v>
      </c>
      <c r="I225" s="3">
        <v>1190239</v>
      </c>
    </row>
    <row r="226" spans="1:9" x14ac:dyDescent="0.25">
      <c r="A226" t="s">
        <v>0</v>
      </c>
      <c r="B226" t="s">
        <v>258</v>
      </c>
      <c r="C226" t="s">
        <v>264</v>
      </c>
      <c r="D226" t="str">
        <f>RIGHT(lista!$C226,4)</f>
        <v>2024</v>
      </c>
      <c r="E226" t="s">
        <v>1020</v>
      </c>
      <c r="F226" s="1">
        <v>46107</v>
      </c>
      <c r="G226" s="3">
        <f>Tabela1[[#This Row],[valor_contrapartida]]+Tabela1[[#This Row],[valor_orgao]]</f>
        <v>1370111.9300000002</v>
      </c>
      <c r="H226" s="3">
        <v>167964.83</v>
      </c>
      <c r="I226" s="3">
        <v>1202147.1000000001</v>
      </c>
    </row>
    <row r="227" spans="1:9" x14ac:dyDescent="0.25">
      <c r="A227" t="s">
        <v>0</v>
      </c>
      <c r="B227" t="s">
        <v>258</v>
      </c>
      <c r="C227" t="s">
        <v>409</v>
      </c>
      <c r="D227" t="str">
        <f>RIGHT(lista!$C227,4)</f>
        <v>2023</v>
      </c>
      <c r="E227" t="s">
        <v>1021</v>
      </c>
      <c r="F227" s="1">
        <v>46230</v>
      </c>
      <c r="G227" s="3">
        <f>Tabela1[[#This Row],[valor_contrapartida]]+Tabela1[[#This Row],[valor_orgao]]</f>
        <v>1262326.46</v>
      </c>
      <c r="H227" s="3">
        <v>50493.06</v>
      </c>
      <c r="I227" s="3">
        <v>1211833.3999999999</v>
      </c>
    </row>
    <row r="228" spans="1:9" x14ac:dyDescent="0.25">
      <c r="A228" t="s">
        <v>0</v>
      </c>
      <c r="B228" t="s">
        <v>265</v>
      </c>
      <c r="C228" t="s">
        <v>266</v>
      </c>
      <c r="D228" t="str">
        <f>RIGHT(lista!$C228,4)</f>
        <v>2021</v>
      </c>
      <c r="E228" t="s">
        <v>1022</v>
      </c>
      <c r="F228" s="1">
        <v>46288</v>
      </c>
      <c r="G228" s="3">
        <f>Tabela1[[#This Row],[valor_contrapartida]]+Tabela1[[#This Row],[valor_orgao]]</f>
        <v>6630538.8099999996</v>
      </c>
      <c r="H228" s="3">
        <v>265221.55</v>
      </c>
      <c r="I228" s="3">
        <v>6365317.2599999998</v>
      </c>
    </row>
    <row r="229" spans="1:9" x14ac:dyDescent="0.25">
      <c r="A229" t="s">
        <v>0</v>
      </c>
      <c r="B229" t="s">
        <v>265</v>
      </c>
      <c r="C229" t="s">
        <v>267</v>
      </c>
      <c r="D229" t="str">
        <f>RIGHT(lista!$C229,4)</f>
        <v>2022</v>
      </c>
      <c r="E229" t="s">
        <v>1023</v>
      </c>
      <c r="F229" s="1">
        <v>46200</v>
      </c>
      <c r="G229" s="3">
        <f>Tabela1[[#This Row],[valor_contrapartida]]+Tabela1[[#This Row],[valor_orgao]]</f>
        <v>3284279.16</v>
      </c>
      <c r="H229" s="3">
        <v>134279.16</v>
      </c>
      <c r="I229" s="3">
        <v>3150000</v>
      </c>
    </row>
    <row r="230" spans="1:9" x14ac:dyDescent="0.25">
      <c r="A230" t="s">
        <v>0</v>
      </c>
      <c r="B230" t="s">
        <v>265</v>
      </c>
      <c r="C230" t="s">
        <v>268</v>
      </c>
      <c r="D230" t="str">
        <f>RIGHT(lista!$C230,4)</f>
        <v>2022</v>
      </c>
      <c r="E230" t="s">
        <v>1024</v>
      </c>
      <c r="F230" s="1">
        <v>46202</v>
      </c>
      <c r="G230" s="3">
        <f>Tabela1[[#This Row],[valor_contrapartida]]+Tabela1[[#This Row],[valor_orgao]]</f>
        <v>6272123.6699999999</v>
      </c>
      <c r="H230" s="3">
        <v>272123.67</v>
      </c>
      <c r="I230" s="3">
        <v>6000000</v>
      </c>
    </row>
    <row r="231" spans="1:9" x14ac:dyDescent="0.25">
      <c r="A231" t="s">
        <v>0</v>
      </c>
      <c r="B231" t="s">
        <v>265</v>
      </c>
      <c r="C231" t="s">
        <v>269</v>
      </c>
      <c r="D231" t="str">
        <f>RIGHT(lista!$C231,4)</f>
        <v>2024</v>
      </c>
      <c r="E231" t="s">
        <v>1025</v>
      </c>
      <c r="F231" s="1">
        <v>46204</v>
      </c>
      <c r="G231" s="3">
        <f>Tabela1[[#This Row],[valor_contrapartida]]+Tabela1[[#This Row],[valor_orgao]]</f>
        <v>3850737.48</v>
      </c>
      <c r="H231" s="3">
        <v>154029.48000000001</v>
      </c>
      <c r="I231" s="3">
        <v>3696708</v>
      </c>
    </row>
    <row r="232" spans="1:9" x14ac:dyDescent="0.25">
      <c r="A232" t="s">
        <v>0</v>
      </c>
      <c r="B232" t="s">
        <v>270</v>
      </c>
      <c r="C232" t="s">
        <v>271</v>
      </c>
      <c r="D232" t="str">
        <f>RIGHT(lista!$C232,4)</f>
        <v>2022</v>
      </c>
      <c r="E232" t="s">
        <v>1026</v>
      </c>
      <c r="F232" s="1">
        <v>46062</v>
      </c>
      <c r="G232" s="3">
        <f>Tabela1[[#This Row],[valor_contrapartida]]+Tabela1[[#This Row],[valor_orgao]]</f>
        <v>1457321.99</v>
      </c>
      <c r="H232" s="3">
        <v>692.88</v>
      </c>
      <c r="I232" s="3">
        <v>1456629.11</v>
      </c>
    </row>
    <row r="233" spans="1:9" x14ac:dyDescent="0.25">
      <c r="A233" t="s">
        <v>0</v>
      </c>
      <c r="B233" t="s">
        <v>272</v>
      </c>
      <c r="C233" t="s">
        <v>273</v>
      </c>
      <c r="D233" t="str">
        <f>RIGHT(lista!$C233,4)</f>
        <v>2022</v>
      </c>
      <c r="E233" t="s">
        <v>1027</v>
      </c>
      <c r="F233" s="1">
        <v>45458</v>
      </c>
      <c r="G233" s="3">
        <f>Tabela1[[#This Row],[valor_contrapartida]]+Tabela1[[#This Row],[valor_orgao]]</f>
        <v>378509.08999999997</v>
      </c>
      <c r="H233" s="3">
        <v>15140.36</v>
      </c>
      <c r="I233" s="3">
        <v>363368.73</v>
      </c>
    </row>
    <row r="234" spans="1:9" x14ac:dyDescent="0.25">
      <c r="A234" t="s">
        <v>0</v>
      </c>
      <c r="B234" t="s">
        <v>272</v>
      </c>
      <c r="C234" t="s">
        <v>274</v>
      </c>
      <c r="D234" t="str">
        <f>RIGHT(lista!$C234,4)</f>
        <v>2022</v>
      </c>
      <c r="E234" t="s">
        <v>1028</v>
      </c>
      <c r="F234" s="1">
        <v>45839</v>
      </c>
      <c r="G234" s="3">
        <f>Tabela1[[#This Row],[valor_contrapartida]]+Tabela1[[#This Row],[valor_orgao]]</f>
        <v>163929.34</v>
      </c>
      <c r="H234" s="3">
        <v>13929.34</v>
      </c>
      <c r="I234" s="3">
        <v>150000</v>
      </c>
    </row>
    <row r="235" spans="1:9" x14ac:dyDescent="0.25">
      <c r="A235" t="s">
        <v>0</v>
      </c>
      <c r="B235" t="s">
        <v>272</v>
      </c>
      <c r="C235" t="s">
        <v>275</v>
      </c>
      <c r="D235" t="str">
        <f>RIGHT(lista!$C235,4)</f>
        <v>2025</v>
      </c>
      <c r="E235" t="s">
        <v>1029</v>
      </c>
      <c r="F235" s="1">
        <v>45839</v>
      </c>
      <c r="G235" s="3">
        <f>Tabela1[[#This Row],[valor_contrapartida]]+Tabela1[[#This Row],[valor_orgao]]</f>
        <v>613929.34</v>
      </c>
      <c r="H235" s="3">
        <v>13929.34</v>
      </c>
      <c r="I235" s="3">
        <v>600000</v>
      </c>
    </row>
    <row r="236" spans="1:9" x14ac:dyDescent="0.25">
      <c r="A236" t="s">
        <v>0</v>
      </c>
      <c r="B236" t="s">
        <v>276</v>
      </c>
      <c r="C236" t="s">
        <v>277</v>
      </c>
      <c r="D236" t="str">
        <f>RIGHT(lista!$C236,4)</f>
        <v>2022</v>
      </c>
      <c r="E236" t="s">
        <v>1030</v>
      </c>
      <c r="F236" s="1">
        <v>46200</v>
      </c>
      <c r="G236" s="3">
        <f>Tabela1[[#This Row],[valor_contrapartida]]+Tabela1[[#This Row],[valor_orgao]]</f>
        <v>13019337.310000001</v>
      </c>
      <c r="H236" s="3">
        <v>3019337.31</v>
      </c>
      <c r="I236" s="3">
        <v>10000000</v>
      </c>
    </row>
    <row r="237" spans="1:9" x14ac:dyDescent="0.25">
      <c r="A237" t="s">
        <v>0</v>
      </c>
      <c r="B237" t="s">
        <v>278</v>
      </c>
      <c r="C237" t="s">
        <v>279</v>
      </c>
      <c r="D237" t="str">
        <f>RIGHT(lista!$C237,4)</f>
        <v>2022</v>
      </c>
      <c r="E237" t="s">
        <v>1031</v>
      </c>
      <c r="F237" s="1">
        <v>45826</v>
      </c>
      <c r="G237" s="3">
        <f>Tabela1[[#This Row],[valor_contrapartida]]+Tabela1[[#This Row],[valor_orgao]]</f>
        <v>364923.71</v>
      </c>
      <c r="H237" s="3">
        <v>64923.71</v>
      </c>
      <c r="I237" s="3">
        <v>300000</v>
      </c>
    </row>
    <row r="238" spans="1:9" x14ac:dyDescent="0.25">
      <c r="A238" t="s">
        <v>0</v>
      </c>
      <c r="B238" t="s">
        <v>278</v>
      </c>
      <c r="C238" t="s">
        <v>280</v>
      </c>
      <c r="D238" t="str">
        <f>RIGHT(lista!$C238,4)</f>
        <v>2022</v>
      </c>
      <c r="E238" t="s">
        <v>1032</v>
      </c>
      <c r="F238" s="1">
        <v>45593</v>
      </c>
      <c r="G238" s="3">
        <f>Tabela1[[#This Row],[valor_contrapartida]]+Tabela1[[#This Row],[valor_orgao]]</f>
        <v>61504.68</v>
      </c>
      <c r="H238" s="3">
        <v>11504.68</v>
      </c>
      <c r="I238" s="3">
        <v>50000</v>
      </c>
    </row>
    <row r="239" spans="1:9" x14ac:dyDescent="0.25">
      <c r="A239" t="s">
        <v>0</v>
      </c>
      <c r="B239" t="s">
        <v>278</v>
      </c>
      <c r="C239" t="s">
        <v>281</v>
      </c>
      <c r="D239" t="str">
        <f>RIGHT(lista!$C239,4)</f>
        <v>2022</v>
      </c>
      <c r="E239" t="s">
        <v>1033</v>
      </c>
      <c r="F239" s="1">
        <v>46230</v>
      </c>
      <c r="G239" s="3">
        <f>Tabela1[[#This Row],[valor_contrapartida]]+Tabela1[[#This Row],[valor_orgao]]</f>
        <v>1456443.5799999998</v>
      </c>
      <c r="H239" s="3">
        <v>74817.179999999993</v>
      </c>
      <c r="I239" s="3">
        <v>1381626.4</v>
      </c>
    </row>
    <row r="240" spans="1:9" x14ac:dyDescent="0.25">
      <c r="A240" t="s">
        <v>0</v>
      </c>
      <c r="B240" t="s">
        <v>278</v>
      </c>
      <c r="C240" t="s">
        <v>282</v>
      </c>
      <c r="D240" t="str">
        <f>RIGHT(lista!$C240,4)</f>
        <v>2022</v>
      </c>
      <c r="E240" t="s">
        <v>1034</v>
      </c>
      <c r="F240" s="1">
        <v>46081</v>
      </c>
      <c r="G240" s="3">
        <f>Tabela1[[#This Row],[valor_contrapartida]]+Tabela1[[#This Row],[valor_orgao]]</f>
        <v>2632014.98</v>
      </c>
      <c r="H240" s="3">
        <v>132014.98000000001</v>
      </c>
      <c r="I240" s="3">
        <v>2500000</v>
      </c>
    </row>
    <row r="241" spans="1:9" x14ac:dyDescent="0.25">
      <c r="A241" t="s">
        <v>0</v>
      </c>
      <c r="B241" t="s">
        <v>278</v>
      </c>
      <c r="C241" t="s">
        <v>283</v>
      </c>
      <c r="D241" t="str">
        <f>RIGHT(lista!$C241,4)</f>
        <v>2022</v>
      </c>
      <c r="E241" t="s">
        <v>1035</v>
      </c>
      <c r="F241" s="1">
        <v>45839</v>
      </c>
      <c r="G241" s="3">
        <f>Tabela1[[#This Row],[valor_contrapartida]]+Tabela1[[#This Row],[valor_orgao]]</f>
        <v>1113094.6000000001</v>
      </c>
      <c r="H241" s="3">
        <v>113094.6</v>
      </c>
      <c r="I241" s="3">
        <v>1000000</v>
      </c>
    </row>
    <row r="242" spans="1:9" x14ac:dyDescent="0.25">
      <c r="A242" t="s">
        <v>0</v>
      </c>
      <c r="B242" t="s">
        <v>278</v>
      </c>
      <c r="C242" t="s">
        <v>284</v>
      </c>
      <c r="D242" t="str">
        <f>RIGHT(lista!$C242,4)</f>
        <v>2024</v>
      </c>
      <c r="E242" t="s">
        <v>1036</v>
      </c>
      <c r="F242" s="1">
        <v>46086</v>
      </c>
      <c r="G242" s="3">
        <f>Tabela1[[#This Row],[valor_contrapartida]]+Tabela1[[#This Row],[valor_orgao]]</f>
        <v>193571.91</v>
      </c>
      <c r="H242" s="3">
        <v>43571.91</v>
      </c>
      <c r="I242" s="3">
        <v>150000</v>
      </c>
    </row>
    <row r="243" spans="1:9" x14ac:dyDescent="0.25">
      <c r="A243" t="s">
        <v>0</v>
      </c>
      <c r="B243" t="s">
        <v>278</v>
      </c>
      <c r="C243" t="s">
        <v>410</v>
      </c>
      <c r="D243" t="str">
        <f>RIGHT(lista!$C243,4)</f>
        <v>2022</v>
      </c>
      <c r="E243" t="s">
        <v>1037</v>
      </c>
      <c r="F243" s="1">
        <v>45449</v>
      </c>
      <c r="G243" s="3">
        <f>Tabela1[[#This Row],[valor_contrapartida]]+Tabela1[[#This Row],[valor_orgao]]</f>
        <v>273951.57</v>
      </c>
      <c r="H243" s="3">
        <v>73951.570000000007</v>
      </c>
      <c r="I243" s="3">
        <v>200000</v>
      </c>
    </row>
    <row r="244" spans="1:9" x14ac:dyDescent="0.25">
      <c r="A244" t="s">
        <v>0</v>
      </c>
      <c r="B244" t="s">
        <v>278</v>
      </c>
      <c r="C244" t="s">
        <v>436</v>
      </c>
      <c r="D244" t="str">
        <f>RIGHT(lista!$C244,4)</f>
        <v>2022</v>
      </c>
      <c r="E244" t="s">
        <v>1038</v>
      </c>
      <c r="F244" s="1">
        <v>46139</v>
      </c>
      <c r="G244" s="3">
        <f>Tabela1[[#This Row],[valor_contrapartida]]+Tabela1[[#This Row],[valor_orgao]]</f>
        <v>158131.87</v>
      </c>
      <c r="H244" s="3">
        <v>9454.6</v>
      </c>
      <c r="I244" s="3">
        <v>148677.26999999999</v>
      </c>
    </row>
    <row r="245" spans="1:9" x14ac:dyDescent="0.25">
      <c r="A245" t="s">
        <v>0</v>
      </c>
      <c r="B245" t="s">
        <v>285</v>
      </c>
      <c r="C245" t="s">
        <v>286</v>
      </c>
      <c r="D245" t="str">
        <f>RIGHT(lista!$C245,4)</f>
        <v>2022</v>
      </c>
      <c r="E245" t="s">
        <v>1039</v>
      </c>
      <c r="F245" s="1">
        <v>46232</v>
      </c>
      <c r="G245" s="3">
        <f>Tabela1[[#This Row],[valor_contrapartida]]+Tabela1[[#This Row],[valor_orgao]]</f>
        <v>870494.39</v>
      </c>
      <c r="H245" s="3">
        <v>370494.39</v>
      </c>
      <c r="I245" s="3">
        <v>500000</v>
      </c>
    </row>
    <row r="246" spans="1:9" x14ac:dyDescent="0.25">
      <c r="A246" t="s">
        <v>0</v>
      </c>
      <c r="B246" t="s">
        <v>285</v>
      </c>
      <c r="C246" t="s">
        <v>435</v>
      </c>
      <c r="D246" t="str">
        <f>RIGHT(lista!$C246,4)</f>
        <v>2022</v>
      </c>
      <c r="E246" t="s">
        <v>1040</v>
      </c>
      <c r="F246" s="1">
        <v>46194</v>
      </c>
      <c r="G246" s="3">
        <f>Tabela1[[#This Row],[valor_contrapartida]]+Tabela1[[#This Row],[valor_orgao]]</f>
        <v>2432081.65</v>
      </c>
      <c r="H246" s="3">
        <v>121605</v>
      </c>
      <c r="I246" s="3">
        <v>2310476.65</v>
      </c>
    </row>
    <row r="247" spans="1:9" x14ac:dyDescent="0.25">
      <c r="A247" t="s">
        <v>0</v>
      </c>
      <c r="B247" t="s">
        <v>287</v>
      </c>
      <c r="C247" t="s">
        <v>288</v>
      </c>
      <c r="D247" t="str">
        <f>RIGHT(lista!$C247,4)</f>
        <v>2022</v>
      </c>
      <c r="E247" t="s">
        <v>1041</v>
      </c>
      <c r="F247" s="1">
        <v>46204</v>
      </c>
      <c r="G247" s="3">
        <f>Tabela1[[#This Row],[valor_contrapartida]]+Tabela1[[#This Row],[valor_orgao]]</f>
        <v>2358687.27</v>
      </c>
      <c r="H247" s="3">
        <v>117934.37</v>
      </c>
      <c r="I247" s="3">
        <v>2240752.9</v>
      </c>
    </row>
    <row r="248" spans="1:9" x14ac:dyDescent="0.25">
      <c r="A248" t="s">
        <v>0</v>
      </c>
      <c r="B248" t="s">
        <v>289</v>
      </c>
      <c r="C248" t="s">
        <v>290</v>
      </c>
      <c r="D248" t="str">
        <f>RIGHT(lista!$C248,4)</f>
        <v>2024</v>
      </c>
      <c r="E248" t="s">
        <v>1042</v>
      </c>
      <c r="F248" s="1">
        <v>46061</v>
      </c>
      <c r="G248" s="3">
        <f>Tabela1[[#This Row],[valor_contrapartida]]+Tabela1[[#This Row],[valor_orgao]]</f>
        <v>2010124.3900000001</v>
      </c>
      <c r="H248" s="3">
        <v>210124.39</v>
      </c>
      <c r="I248" s="3">
        <v>1800000</v>
      </c>
    </row>
    <row r="249" spans="1:9" x14ac:dyDescent="0.25">
      <c r="A249" t="s">
        <v>0</v>
      </c>
      <c r="B249" t="s">
        <v>291</v>
      </c>
      <c r="C249" t="s">
        <v>292</v>
      </c>
      <c r="D249" t="str">
        <f>RIGHT(lista!$C249,4)</f>
        <v>2024</v>
      </c>
      <c r="E249" t="s">
        <v>1043</v>
      </c>
      <c r="F249" s="1">
        <v>46204</v>
      </c>
      <c r="G249" s="3">
        <f>Tabela1[[#This Row],[valor_contrapartida]]+Tabela1[[#This Row],[valor_orgao]]</f>
        <v>1639304.28</v>
      </c>
      <c r="H249" s="3">
        <v>65572.179999999993</v>
      </c>
      <c r="I249" s="3">
        <v>1573732.1</v>
      </c>
    </row>
    <row r="250" spans="1:9" x14ac:dyDescent="0.25">
      <c r="A250" t="s">
        <v>0</v>
      </c>
      <c r="B250" t="s">
        <v>293</v>
      </c>
      <c r="C250" t="s">
        <v>294</v>
      </c>
      <c r="D250" t="str">
        <f>RIGHT(lista!$C250,4)</f>
        <v>2022</v>
      </c>
      <c r="E250" t="s">
        <v>1044</v>
      </c>
      <c r="F250" s="1">
        <v>46283</v>
      </c>
      <c r="G250" s="3">
        <f>Tabela1[[#This Row],[valor_contrapartida]]+Tabela1[[#This Row],[valor_orgao]]</f>
        <v>1522660.63</v>
      </c>
      <c r="H250" s="3">
        <v>59906.43</v>
      </c>
      <c r="I250" s="3">
        <v>1462754.2</v>
      </c>
    </row>
    <row r="251" spans="1:9" x14ac:dyDescent="0.25">
      <c r="A251" t="s">
        <v>0</v>
      </c>
      <c r="B251" t="s">
        <v>295</v>
      </c>
      <c r="C251" t="s">
        <v>296</v>
      </c>
      <c r="D251" t="str">
        <f>RIGHT(lista!$C251,4)</f>
        <v>2022</v>
      </c>
      <c r="E251" t="s">
        <v>1045</v>
      </c>
      <c r="F251" s="1">
        <v>45830</v>
      </c>
      <c r="G251" s="3">
        <f>Tabela1[[#This Row],[valor_contrapartida]]+Tabela1[[#This Row],[valor_orgao]]</f>
        <v>10568191.300000001</v>
      </c>
      <c r="H251" s="3">
        <v>568191.30000000005</v>
      </c>
      <c r="I251" s="3">
        <v>10000000</v>
      </c>
    </row>
    <row r="252" spans="1:9" x14ac:dyDescent="0.25">
      <c r="A252" t="s">
        <v>0</v>
      </c>
      <c r="B252" t="s">
        <v>295</v>
      </c>
      <c r="C252" t="s">
        <v>297</v>
      </c>
      <c r="D252" t="str">
        <f>RIGHT(lista!$C252,4)</f>
        <v>2022</v>
      </c>
      <c r="E252" t="s">
        <v>1046</v>
      </c>
      <c r="F252" s="1">
        <v>45830</v>
      </c>
      <c r="G252" s="3">
        <f>Tabela1[[#This Row],[valor_contrapartida]]+Tabela1[[#This Row],[valor_orgao]]</f>
        <v>10568191.300000001</v>
      </c>
      <c r="H252" s="3">
        <v>568191.30000000005</v>
      </c>
      <c r="I252" s="3">
        <v>10000000</v>
      </c>
    </row>
    <row r="253" spans="1:9" x14ac:dyDescent="0.25">
      <c r="A253" t="s">
        <v>0</v>
      </c>
      <c r="B253" t="s">
        <v>295</v>
      </c>
      <c r="C253" t="s">
        <v>298</v>
      </c>
      <c r="D253" t="str">
        <f>RIGHT(lista!$C253,4)</f>
        <v>2022</v>
      </c>
      <c r="E253" t="s">
        <v>1047</v>
      </c>
      <c r="F253" s="1">
        <v>45834</v>
      </c>
      <c r="G253" s="3">
        <f>Tabela1[[#This Row],[valor_contrapartida]]+Tabela1[[#This Row],[valor_orgao]]</f>
        <v>1160149.3500000001</v>
      </c>
      <c r="H253" s="3">
        <v>119550.05</v>
      </c>
      <c r="I253" s="3">
        <v>1040599.3</v>
      </c>
    </row>
    <row r="254" spans="1:9" x14ac:dyDescent="0.25">
      <c r="A254" t="s">
        <v>0</v>
      </c>
      <c r="B254" t="s">
        <v>295</v>
      </c>
      <c r="C254" t="s">
        <v>299</v>
      </c>
      <c r="D254" t="str">
        <f>RIGHT(lista!$C254,4)</f>
        <v>2022</v>
      </c>
      <c r="E254" t="s">
        <v>1048</v>
      </c>
      <c r="F254" s="1">
        <v>46017</v>
      </c>
      <c r="G254" s="3">
        <f>Tabela1[[#This Row],[valor_contrapartida]]+Tabela1[[#This Row],[valor_orgao]]</f>
        <v>5506787.4799999995</v>
      </c>
      <c r="H254" s="3">
        <v>275339.38</v>
      </c>
      <c r="I254" s="3">
        <v>5231448.0999999996</v>
      </c>
    </row>
    <row r="255" spans="1:9" x14ac:dyDescent="0.25">
      <c r="A255" t="s">
        <v>0</v>
      </c>
      <c r="B255" t="s">
        <v>295</v>
      </c>
      <c r="C255" t="s">
        <v>300</v>
      </c>
      <c r="D255" t="str">
        <f>RIGHT(lista!$C255,4)</f>
        <v>2022</v>
      </c>
      <c r="E255" t="s">
        <v>1049</v>
      </c>
      <c r="F255" s="1">
        <v>46204</v>
      </c>
      <c r="G255" s="3">
        <f>Tabela1[[#This Row],[valor_contrapartida]]+Tabela1[[#This Row],[valor_orgao]]</f>
        <v>3550435.39</v>
      </c>
      <c r="H255" s="3">
        <v>220225.39</v>
      </c>
      <c r="I255" s="3">
        <v>3330210</v>
      </c>
    </row>
    <row r="256" spans="1:9" x14ac:dyDescent="0.25">
      <c r="A256" t="s">
        <v>0</v>
      </c>
      <c r="B256" t="s">
        <v>301</v>
      </c>
      <c r="C256" t="s">
        <v>302</v>
      </c>
      <c r="D256" t="str">
        <f>RIGHT(lista!$C256,4)</f>
        <v>2025</v>
      </c>
      <c r="E256" t="s">
        <v>1050</v>
      </c>
      <c r="F256" s="1">
        <v>46170</v>
      </c>
      <c r="G256" s="3">
        <f>Tabela1[[#This Row],[valor_contrapartida]]+Tabela1[[#This Row],[valor_orgao]]</f>
        <v>11420900.310000001</v>
      </c>
      <c r="H256" s="3">
        <v>456836.01</v>
      </c>
      <c r="I256" s="3">
        <v>10964064.300000001</v>
      </c>
    </row>
    <row r="257" spans="1:9" x14ac:dyDescent="0.25">
      <c r="A257" t="s">
        <v>0</v>
      </c>
      <c r="B257" t="s">
        <v>303</v>
      </c>
      <c r="C257" t="s">
        <v>304</v>
      </c>
      <c r="D257" t="str">
        <f>RIGHT(lista!$C257,4)</f>
        <v>2022</v>
      </c>
      <c r="E257" t="s">
        <v>1051</v>
      </c>
      <c r="F257" s="1">
        <v>46204</v>
      </c>
      <c r="G257" s="3">
        <f>Tabela1[[#This Row],[valor_contrapartida]]+Tabela1[[#This Row],[valor_orgao]]</f>
        <v>211210.31</v>
      </c>
      <c r="H257" s="3">
        <v>11210.31</v>
      </c>
      <c r="I257" s="3">
        <v>200000</v>
      </c>
    </row>
    <row r="258" spans="1:9" x14ac:dyDescent="0.25">
      <c r="A258" t="s">
        <v>0</v>
      </c>
      <c r="B258" t="s">
        <v>305</v>
      </c>
      <c r="C258" t="s">
        <v>306</v>
      </c>
      <c r="D258" t="str">
        <f>RIGHT(lista!$C258,4)</f>
        <v>2022</v>
      </c>
      <c r="E258" t="s">
        <v>1052</v>
      </c>
      <c r="F258" s="1">
        <v>46195</v>
      </c>
      <c r="G258" s="3">
        <f>Tabela1[[#This Row],[valor_contrapartida]]+Tabela1[[#This Row],[valor_orgao]]</f>
        <v>2812759.09</v>
      </c>
      <c r="H258" s="3">
        <v>978848.29</v>
      </c>
      <c r="I258" s="3">
        <v>1833910.8</v>
      </c>
    </row>
    <row r="259" spans="1:9" x14ac:dyDescent="0.25">
      <c r="A259" t="s">
        <v>0</v>
      </c>
      <c r="B259" t="s">
        <v>305</v>
      </c>
      <c r="C259" t="s">
        <v>307</v>
      </c>
      <c r="D259" t="str">
        <f>RIGHT(lista!$C259,4)</f>
        <v>2022</v>
      </c>
      <c r="E259" t="s">
        <v>1053</v>
      </c>
      <c r="F259" s="1">
        <v>45838</v>
      </c>
      <c r="G259" s="3">
        <f>Tabela1[[#This Row],[valor_contrapartida]]+Tabela1[[#This Row],[valor_orgao]]</f>
        <v>951078.34</v>
      </c>
      <c r="H259" s="3">
        <v>151078.34</v>
      </c>
      <c r="I259" s="3">
        <v>800000</v>
      </c>
    </row>
    <row r="260" spans="1:9" x14ac:dyDescent="0.25">
      <c r="A260" t="s">
        <v>0</v>
      </c>
      <c r="B260" t="s">
        <v>308</v>
      </c>
      <c r="C260" t="s">
        <v>309</v>
      </c>
      <c r="D260" t="str">
        <f>RIGHT(lista!$C260,4)</f>
        <v>2020</v>
      </c>
      <c r="E260" t="s">
        <v>1054</v>
      </c>
      <c r="F260" s="1">
        <v>46011</v>
      </c>
      <c r="G260" s="3">
        <f>Tabela1[[#This Row],[valor_contrapartida]]+Tabela1[[#This Row],[valor_orgao]]</f>
        <v>17319837</v>
      </c>
      <c r="H260" s="3">
        <v>0</v>
      </c>
      <c r="I260" s="3">
        <v>17319837</v>
      </c>
    </row>
    <row r="261" spans="1:9" x14ac:dyDescent="0.25">
      <c r="A261" t="s">
        <v>0</v>
      </c>
      <c r="B261" t="s">
        <v>308</v>
      </c>
      <c r="C261" t="s">
        <v>310</v>
      </c>
      <c r="D261" t="str">
        <f>RIGHT(lista!$C261,4)</f>
        <v>2022</v>
      </c>
      <c r="E261" t="s">
        <v>1055</v>
      </c>
      <c r="F261" s="1">
        <v>45455</v>
      </c>
      <c r="G261" s="3">
        <f>Tabela1[[#This Row],[valor_contrapartida]]+Tabela1[[#This Row],[valor_orgao]]</f>
        <v>316653.93</v>
      </c>
      <c r="H261" s="3">
        <v>31665.39</v>
      </c>
      <c r="I261" s="3">
        <v>284988.53999999998</v>
      </c>
    </row>
    <row r="262" spans="1:9" x14ac:dyDescent="0.25">
      <c r="A262" t="s">
        <v>0</v>
      </c>
      <c r="B262" t="s">
        <v>308</v>
      </c>
      <c r="C262" t="s">
        <v>311</v>
      </c>
      <c r="D262" t="str">
        <f>RIGHT(lista!$C262,4)</f>
        <v>2022</v>
      </c>
      <c r="E262" t="s">
        <v>1056</v>
      </c>
      <c r="F262" s="1">
        <v>46249</v>
      </c>
      <c r="G262" s="3">
        <f>Tabela1[[#This Row],[valor_contrapartida]]+Tabela1[[#This Row],[valor_orgao]]</f>
        <v>15112245.609999999</v>
      </c>
      <c r="H262" s="3">
        <v>3112245.61</v>
      </c>
      <c r="I262" s="3">
        <v>12000000</v>
      </c>
    </row>
    <row r="263" spans="1:9" x14ac:dyDescent="0.25">
      <c r="A263" t="s">
        <v>0</v>
      </c>
      <c r="B263" t="s">
        <v>308</v>
      </c>
      <c r="C263" t="s">
        <v>312</v>
      </c>
      <c r="D263" t="str">
        <f>RIGHT(lista!$C263,4)</f>
        <v>2022</v>
      </c>
      <c r="E263" t="s">
        <v>1057</v>
      </c>
      <c r="F263" s="1">
        <v>46037</v>
      </c>
      <c r="G263" s="3">
        <f>Tabela1[[#This Row],[valor_contrapartida]]+Tabela1[[#This Row],[valor_orgao]]</f>
        <v>2507153.84</v>
      </c>
      <c r="H263" s="3">
        <v>295075.44</v>
      </c>
      <c r="I263" s="3">
        <v>2212078.4</v>
      </c>
    </row>
    <row r="264" spans="1:9" x14ac:dyDescent="0.25">
      <c r="A264" t="s">
        <v>0</v>
      </c>
      <c r="B264" t="s">
        <v>308</v>
      </c>
      <c r="C264" t="s">
        <v>313</v>
      </c>
      <c r="D264" t="str">
        <f>RIGHT(lista!$C264,4)</f>
        <v>2022</v>
      </c>
      <c r="E264" t="s">
        <v>1058</v>
      </c>
      <c r="F264" s="1">
        <v>45823</v>
      </c>
      <c r="G264" s="3">
        <f>Tabela1[[#This Row],[valor_contrapartida]]+Tabela1[[#This Row],[valor_orgao]]</f>
        <v>593850.89</v>
      </c>
      <c r="H264" s="3">
        <v>151292.03</v>
      </c>
      <c r="I264" s="3">
        <v>442558.86</v>
      </c>
    </row>
    <row r="265" spans="1:9" x14ac:dyDescent="0.25">
      <c r="A265" t="s">
        <v>0</v>
      </c>
      <c r="B265" t="s">
        <v>308</v>
      </c>
      <c r="C265" t="s">
        <v>314</v>
      </c>
      <c r="D265" t="str">
        <f>RIGHT(lista!$C265,4)</f>
        <v>2022</v>
      </c>
      <c r="E265" t="s">
        <v>1059</v>
      </c>
      <c r="F265" s="1">
        <v>46195</v>
      </c>
      <c r="G265" s="3">
        <f>Tabela1[[#This Row],[valor_contrapartida]]+Tabela1[[#This Row],[valor_orgao]]</f>
        <v>237322.68</v>
      </c>
      <c r="H265" s="3">
        <v>33178.370000000003</v>
      </c>
      <c r="I265" s="3">
        <v>204144.31</v>
      </c>
    </row>
    <row r="266" spans="1:9" x14ac:dyDescent="0.25">
      <c r="A266" t="s">
        <v>0</v>
      </c>
      <c r="B266" t="s">
        <v>308</v>
      </c>
      <c r="C266" t="s">
        <v>315</v>
      </c>
      <c r="D266" t="str">
        <f>RIGHT(lista!$C266,4)</f>
        <v>2022</v>
      </c>
      <c r="E266" t="s">
        <v>1060</v>
      </c>
      <c r="F266" s="1">
        <v>46195</v>
      </c>
      <c r="G266" s="3">
        <f>Tabela1[[#This Row],[valor_contrapartida]]+Tabela1[[#This Row],[valor_orgao]]</f>
        <v>1039034.27</v>
      </c>
      <c r="H266" s="3">
        <v>33178.370000000003</v>
      </c>
      <c r="I266" s="3">
        <v>1005855.9</v>
      </c>
    </row>
    <row r="267" spans="1:9" x14ac:dyDescent="0.25">
      <c r="A267" t="s">
        <v>0</v>
      </c>
      <c r="B267" t="s">
        <v>308</v>
      </c>
      <c r="C267" t="s">
        <v>316</v>
      </c>
      <c r="D267" t="str">
        <f>RIGHT(lista!$C267,4)</f>
        <v>2022</v>
      </c>
      <c r="E267" t="s">
        <v>1061</v>
      </c>
      <c r="F267" s="1">
        <v>46204</v>
      </c>
      <c r="G267" s="3">
        <f>Tabela1[[#This Row],[valor_contrapartida]]+Tabela1[[#This Row],[valor_orgao]]</f>
        <v>38271801.170000002</v>
      </c>
      <c r="H267" s="3">
        <v>8877076.1699999999</v>
      </c>
      <c r="I267" s="3">
        <v>29394725</v>
      </c>
    </row>
    <row r="268" spans="1:9" x14ac:dyDescent="0.25">
      <c r="A268" t="s">
        <v>0</v>
      </c>
      <c r="B268" t="s">
        <v>308</v>
      </c>
      <c r="C268" t="s">
        <v>317</v>
      </c>
      <c r="D268" t="str">
        <f>RIGHT(lista!$C268,4)</f>
        <v>2022</v>
      </c>
      <c r="E268" t="s">
        <v>1062</v>
      </c>
      <c r="F268" s="1">
        <v>45839</v>
      </c>
      <c r="G268" s="3">
        <f>Tabela1[[#This Row],[valor_contrapartida]]+Tabela1[[#This Row],[valor_orgao]]</f>
        <v>16681928.91</v>
      </c>
      <c r="H268" s="3">
        <v>6681928.9100000001</v>
      </c>
      <c r="I268" s="3">
        <v>10000000</v>
      </c>
    </row>
    <row r="269" spans="1:9" x14ac:dyDescent="0.25">
      <c r="A269" t="s">
        <v>0</v>
      </c>
      <c r="B269" t="s">
        <v>308</v>
      </c>
      <c r="C269" t="s">
        <v>318</v>
      </c>
      <c r="D269" t="str">
        <f>RIGHT(lista!$C269,4)</f>
        <v>2022</v>
      </c>
      <c r="E269" t="s">
        <v>1063</v>
      </c>
      <c r="F269" s="1">
        <v>46202</v>
      </c>
      <c r="G269" s="3">
        <f>Tabela1[[#This Row],[valor_contrapartida]]+Tabela1[[#This Row],[valor_orgao]]</f>
        <v>4422248.67</v>
      </c>
      <c r="H269" s="3">
        <v>442224.87</v>
      </c>
      <c r="I269" s="3">
        <v>3980023.8</v>
      </c>
    </row>
    <row r="270" spans="1:9" x14ac:dyDescent="0.25">
      <c r="A270" t="s">
        <v>0</v>
      </c>
      <c r="B270" t="s">
        <v>308</v>
      </c>
      <c r="C270" t="s">
        <v>319</v>
      </c>
      <c r="D270" t="str">
        <f>RIGHT(lista!$C270,4)</f>
        <v>2022</v>
      </c>
      <c r="E270" t="s">
        <v>1064</v>
      </c>
      <c r="F270" s="1">
        <v>46327</v>
      </c>
      <c r="G270" s="3">
        <f>Tabela1[[#This Row],[valor_contrapartida]]+Tabela1[[#This Row],[valor_orgao]]</f>
        <v>18519550.68</v>
      </c>
      <c r="H270" s="3">
        <v>8519550.6799999997</v>
      </c>
      <c r="I270" s="3">
        <v>10000000</v>
      </c>
    </row>
    <row r="271" spans="1:9" x14ac:dyDescent="0.25">
      <c r="A271" t="s">
        <v>0</v>
      </c>
      <c r="B271" t="s">
        <v>308</v>
      </c>
      <c r="C271" t="s">
        <v>320</v>
      </c>
      <c r="D271" t="str">
        <f>RIGHT(lista!$C271,4)</f>
        <v>2024</v>
      </c>
      <c r="E271" t="s">
        <v>1065</v>
      </c>
      <c r="F271" s="1">
        <v>46084</v>
      </c>
      <c r="G271" s="3">
        <f>Tabela1[[#This Row],[valor_contrapartida]]+Tabela1[[#This Row],[valor_orgao]]</f>
        <v>6860648.5099999998</v>
      </c>
      <c r="H271" s="3">
        <v>1136789.81</v>
      </c>
      <c r="I271" s="3">
        <v>5723858.7000000002</v>
      </c>
    </row>
    <row r="272" spans="1:9" x14ac:dyDescent="0.25">
      <c r="A272" t="s">
        <v>0</v>
      </c>
      <c r="B272" t="s">
        <v>308</v>
      </c>
      <c r="C272" t="s">
        <v>434</v>
      </c>
      <c r="D272" t="str">
        <f>RIGHT(lista!$C272,4)</f>
        <v>2022</v>
      </c>
      <c r="E272" t="s">
        <v>1066</v>
      </c>
      <c r="F272" s="1">
        <v>45839</v>
      </c>
      <c r="G272" s="3">
        <f>Tabela1[[#This Row],[valor_contrapartida]]+Tabela1[[#This Row],[valor_orgao]]</f>
        <v>485163</v>
      </c>
      <c r="H272" s="3">
        <v>48516.31</v>
      </c>
      <c r="I272" s="3">
        <v>436646.69</v>
      </c>
    </row>
    <row r="273" spans="1:9" x14ac:dyDescent="0.25">
      <c r="A273" t="s">
        <v>0</v>
      </c>
      <c r="B273" t="s">
        <v>321</v>
      </c>
      <c r="C273" t="s">
        <v>322</v>
      </c>
      <c r="D273" t="str">
        <f>RIGHT(lista!$C273,4)</f>
        <v>2022</v>
      </c>
      <c r="E273" t="s">
        <v>1067</v>
      </c>
      <c r="F273" s="1">
        <v>46081</v>
      </c>
      <c r="G273" s="3">
        <f>Tabela1[[#This Row],[valor_contrapartida]]+Tabela1[[#This Row],[valor_orgao]]</f>
        <v>8368230.9800000004</v>
      </c>
      <c r="H273" s="3">
        <v>368230.98</v>
      </c>
      <c r="I273" s="3">
        <v>8000000</v>
      </c>
    </row>
    <row r="274" spans="1:9" x14ac:dyDescent="0.25">
      <c r="A274" t="s">
        <v>0</v>
      </c>
      <c r="B274" t="s">
        <v>321</v>
      </c>
      <c r="C274" t="s">
        <v>323</v>
      </c>
      <c r="D274" t="str">
        <f>RIGHT(lista!$C274,4)</f>
        <v>2022</v>
      </c>
      <c r="E274" t="s">
        <v>1068</v>
      </c>
      <c r="F274" s="1">
        <v>45474</v>
      </c>
      <c r="G274" s="3">
        <f>Tabela1[[#This Row],[valor_contrapartida]]+Tabela1[[#This Row],[valor_orgao]]</f>
        <v>416776.73</v>
      </c>
      <c r="H274" s="3">
        <v>16776.73</v>
      </c>
      <c r="I274" s="3">
        <v>400000</v>
      </c>
    </row>
    <row r="275" spans="1:9" x14ac:dyDescent="0.25">
      <c r="A275" t="s">
        <v>0</v>
      </c>
      <c r="B275" t="s">
        <v>324</v>
      </c>
      <c r="C275" t="s">
        <v>325</v>
      </c>
      <c r="D275" t="str">
        <f>RIGHT(lista!$C275,4)</f>
        <v>2024</v>
      </c>
      <c r="E275" t="s">
        <v>1069</v>
      </c>
      <c r="F275" s="1">
        <v>46015</v>
      </c>
      <c r="G275" s="3">
        <f>Tabela1[[#This Row],[valor_contrapartida]]+Tabela1[[#This Row],[valor_orgao]]</f>
        <v>1077395.77</v>
      </c>
      <c r="H275" s="3">
        <v>4000</v>
      </c>
      <c r="I275" s="3">
        <v>1073395.77</v>
      </c>
    </row>
    <row r="276" spans="1:9" x14ac:dyDescent="0.25">
      <c r="A276" t="s">
        <v>0</v>
      </c>
      <c r="B276" t="s">
        <v>324</v>
      </c>
      <c r="C276" t="s">
        <v>326</v>
      </c>
      <c r="D276" t="str">
        <f>RIGHT(lista!$C276,4)</f>
        <v>2024</v>
      </c>
      <c r="E276" t="s">
        <v>1070</v>
      </c>
      <c r="F276" s="1">
        <v>46204</v>
      </c>
      <c r="G276" s="3">
        <f>Tabela1[[#This Row],[valor_contrapartida]]+Tabela1[[#This Row],[valor_orgao]]</f>
        <v>228274.97999999998</v>
      </c>
      <c r="H276" s="3">
        <v>78274.98</v>
      </c>
      <c r="I276" s="3">
        <v>150000</v>
      </c>
    </row>
    <row r="277" spans="1:9" x14ac:dyDescent="0.25">
      <c r="A277" t="s">
        <v>0</v>
      </c>
      <c r="B277" t="s">
        <v>327</v>
      </c>
      <c r="C277" t="s">
        <v>328</v>
      </c>
      <c r="D277" t="str">
        <f>RIGHT(lista!$C277,4)</f>
        <v>2022</v>
      </c>
      <c r="E277" t="s">
        <v>1071</v>
      </c>
      <c r="F277" s="1">
        <v>46383</v>
      </c>
      <c r="G277" s="3">
        <f>Tabela1[[#This Row],[valor_contrapartida]]+Tabela1[[#This Row],[valor_orgao]]</f>
        <v>1941061.73</v>
      </c>
      <c r="H277" s="3">
        <v>119249.13</v>
      </c>
      <c r="I277" s="3">
        <v>1821812.6</v>
      </c>
    </row>
    <row r="278" spans="1:9" x14ac:dyDescent="0.25">
      <c r="A278" t="s">
        <v>0</v>
      </c>
      <c r="B278" t="s">
        <v>430</v>
      </c>
      <c r="C278" t="s">
        <v>329</v>
      </c>
      <c r="D278" t="str">
        <f>RIGHT(lista!$C278,4)</f>
        <v>2022</v>
      </c>
      <c r="E278" t="s">
        <v>1072</v>
      </c>
      <c r="F278" s="1">
        <v>46193</v>
      </c>
      <c r="G278" s="3">
        <f>Tabela1[[#This Row],[valor_contrapartida]]+Tabela1[[#This Row],[valor_orgao]]</f>
        <v>5927646.6799999997</v>
      </c>
      <c r="H278" s="3">
        <v>592764.68000000005</v>
      </c>
      <c r="I278" s="3">
        <v>5334882</v>
      </c>
    </row>
    <row r="279" spans="1:9" x14ac:dyDescent="0.25">
      <c r="A279" t="s">
        <v>0</v>
      </c>
      <c r="B279" t="s">
        <v>430</v>
      </c>
      <c r="C279" t="s">
        <v>330</v>
      </c>
      <c r="D279" t="str">
        <f>RIGHT(lista!$C279,4)</f>
        <v>2022</v>
      </c>
      <c r="E279" t="s">
        <v>1073</v>
      </c>
      <c r="F279" s="1">
        <v>46023</v>
      </c>
      <c r="G279" s="3">
        <f>Tabela1[[#This Row],[valor_contrapartida]]+Tabela1[[#This Row],[valor_orgao]]</f>
        <v>1486747.1099999999</v>
      </c>
      <c r="H279" s="3">
        <v>340170.91</v>
      </c>
      <c r="I279" s="3">
        <v>1146576.2</v>
      </c>
    </row>
    <row r="280" spans="1:9" x14ac:dyDescent="0.25">
      <c r="A280" t="s">
        <v>0</v>
      </c>
      <c r="B280" t="s">
        <v>430</v>
      </c>
      <c r="C280" t="s">
        <v>331</v>
      </c>
      <c r="D280" t="str">
        <f>RIGHT(lista!$C280,4)</f>
        <v>2022</v>
      </c>
      <c r="E280" t="s">
        <v>1074</v>
      </c>
      <c r="F280" s="1">
        <v>46023</v>
      </c>
      <c r="G280" s="3">
        <f>Tabela1[[#This Row],[valor_contrapartida]]+Tabela1[[#This Row],[valor_orgao]]</f>
        <v>860870.12</v>
      </c>
      <c r="H280" s="3">
        <v>86087</v>
      </c>
      <c r="I280" s="3">
        <v>774783.12</v>
      </c>
    </row>
    <row r="281" spans="1:9" x14ac:dyDescent="0.25">
      <c r="A281" t="s">
        <v>0</v>
      </c>
      <c r="B281" t="s">
        <v>430</v>
      </c>
      <c r="C281" t="s">
        <v>332</v>
      </c>
      <c r="D281" t="str">
        <f>RIGHT(lista!$C281,4)</f>
        <v>2023</v>
      </c>
      <c r="E281" t="s">
        <v>1075</v>
      </c>
      <c r="F281" s="1">
        <v>46374</v>
      </c>
      <c r="G281" s="3">
        <f>Tabela1[[#This Row],[valor_contrapartida]]+Tabela1[[#This Row],[valor_orgao]]</f>
        <v>13566512.310000001</v>
      </c>
      <c r="H281" s="3">
        <v>1973779.31</v>
      </c>
      <c r="I281" s="3">
        <v>11592733</v>
      </c>
    </row>
    <row r="282" spans="1:9" x14ac:dyDescent="0.25">
      <c r="A282" t="s">
        <v>0</v>
      </c>
      <c r="B282" t="s">
        <v>430</v>
      </c>
      <c r="C282" t="s">
        <v>411</v>
      </c>
      <c r="D282" t="str">
        <f>RIGHT(lista!$C282,4)</f>
        <v>2024</v>
      </c>
      <c r="E282" t="s">
        <v>1076</v>
      </c>
      <c r="F282" s="1">
        <v>46158</v>
      </c>
      <c r="G282" s="3">
        <f>Tabela1[[#This Row],[valor_contrapartida]]+Tabela1[[#This Row],[valor_orgao]]</f>
        <v>1106374.32</v>
      </c>
      <c r="H282" s="3">
        <v>106374.32</v>
      </c>
      <c r="I282" s="3">
        <v>1000000</v>
      </c>
    </row>
    <row r="283" spans="1:9" x14ac:dyDescent="0.25">
      <c r="A283" t="s">
        <v>0</v>
      </c>
      <c r="B283" t="s">
        <v>430</v>
      </c>
      <c r="C283" t="s">
        <v>750</v>
      </c>
      <c r="D283" t="str">
        <f>RIGHT(lista!$C283,4)</f>
        <v>2024</v>
      </c>
      <c r="E283" t="s">
        <v>1077</v>
      </c>
      <c r="F283" s="1">
        <v>46159</v>
      </c>
      <c r="G283" s="3">
        <f>Tabela1[[#This Row],[valor_contrapartida]]+Tabela1[[#This Row],[valor_orgao]]</f>
        <v>1106374.32</v>
      </c>
      <c r="H283" s="3">
        <v>106374.32</v>
      </c>
      <c r="I283" s="3">
        <v>1000000</v>
      </c>
    </row>
    <row r="284" spans="1:9" x14ac:dyDescent="0.25">
      <c r="A284" t="s">
        <v>0</v>
      </c>
      <c r="B284" t="s">
        <v>333</v>
      </c>
      <c r="C284" t="s">
        <v>334</v>
      </c>
      <c r="D284" t="str">
        <f>RIGHT(lista!$C284,4)</f>
        <v>2022</v>
      </c>
      <c r="E284" t="s">
        <v>1078</v>
      </c>
      <c r="F284" s="1">
        <v>46235</v>
      </c>
      <c r="G284" s="3">
        <f>Tabela1[[#This Row],[valor_contrapartida]]+Tabela1[[#This Row],[valor_orgao]]</f>
        <v>167483.14000000001</v>
      </c>
      <c r="H284" s="3">
        <v>17483.14</v>
      </c>
      <c r="I284" s="3">
        <v>150000</v>
      </c>
    </row>
    <row r="285" spans="1:9" x14ac:dyDescent="0.25">
      <c r="A285" t="s">
        <v>0</v>
      </c>
      <c r="B285" t="s">
        <v>333</v>
      </c>
      <c r="C285" t="s">
        <v>335</v>
      </c>
      <c r="D285" t="str">
        <f>RIGHT(lista!$C285,4)</f>
        <v>2022</v>
      </c>
      <c r="E285" t="s">
        <v>1079</v>
      </c>
      <c r="F285" s="1">
        <v>46081</v>
      </c>
      <c r="G285" s="3">
        <f>Tabela1[[#This Row],[valor_contrapartida]]+Tabela1[[#This Row],[valor_orgao]]</f>
        <v>313609.8</v>
      </c>
      <c r="H285" s="3">
        <v>63609.8</v>
      </c>
      <c r="I285" s="3">
        <v>250000</v>
      </c>
    </row>
    <row r="286" spans="1:9" x14ac:dyDescent="0.25">
      <c r="A286" t="s">
        <v>0</v>
      </c>
      <c r="B286" t="s">
        <v>336</v>
      </c>
      <c r="C286" t="s">
        <v>337</v>
      </c>
      <c r="D286" t="str">
        <f>RIGHT(lista!$C286,4)</f>
        <v>2022</v>
      </c>
      <c r="E286" t="s">
        <v>1080</v>
      </c>
      <c r="F286" s="1">
        <v>45839</v>
      </c>
      <c r="G286" s="3">
        <f>Tabela1[[#This Row],[valor_contrapartida]]+Tabela1[[#This Row],[valor_orgao]]</f>
        <v>220432.48</v>
      </c>
      <c r="H286" s="3">
        <v>28432.48</v>
      </c>
      <c r="I286" s="3">
        <v>192000</v>
      </c>
    </row>
    <row r="287" spans="1:9" x14ac:dyDescent="0.25">
      <c r="A287" t="s">
        <v>0</v>
      </c>
      <c r="B287" t="s">
        <v>338</v>
      </c>
      <c r="C287" t="s">
        <v>339</v>
      </c>
      <c r="D287" t="str">
        <f>RIGHT(lista!$C287,4)</f>
        <v>2022</v>
      </c>
      <c r="E287" t="s">
        <v>1081</v>
      </c>
      <c r="F287" s="1">
        <v>45798</v>
      </c>
      <c r="G287" s="3">
        <f>Tabela1[[#This Row],[valor_contrapartida]]+Tabela1[[#This Row],[valor_orgao]]</f>
        <v>266226.8</v>
      </c>
      <c r="H287" s="3">
        <v>16226.8</v>
      </c>
      <c r="I287" s="3">
        <v>250000</v>
      </c>
    </row>
    <row r="288" spans="1:9" x14ac:dyDescent="0.25">
      <c r="A288" t="s">
        <v>0</v>
      </c>
      <c r="B288" t="s">
        <v>338</v>
      </c>
      <c r="C288" t="s">
        <v>340</v>
      </c>
      <c r="D288" t="str">
        <f>RIGHT(lista!$C288,4)</f>
        <v>2022</v>
      </c>
      <c r="E288" t="s">
        <v>1082</v>
      </c>
      <c r="F288" s="1">
        <v>45806</v>
      </c>
      <c r="G288" s="3">
        <f>Tabela1[[#This Row],[valor_contrapartida]]+Tabela1[[#This Row],[valor_orgao]]</f>
        <v>284917.58</v>
      </c>
      <c r="H288" s="3">
        <v>34917.58</v>
      </c>
      <c r="I288" s="3">
        <v>250000</v>
      </c>
    </row>
    <row r="289" spans="1:9" x14ac:dyDescent="0.25">
      <c r="A289" t="s">
        <v>0</v>
      </c>
      <c r="B289" t="s">
        <v>338</v>
      </c>
      <c r="C289" t="s">
        <v>341</v>
      </c>
      <c r="D289" t="str">
        <f>RIGHT(lista!$C289,4)</f>
        <v>2024</v>
      </c>
      <c r="E289" t="s">
        <v>1083</v>
      </c>
      <c r="F289" s="1">
        <v>46192</v>
      </c>
      <c r="G289" s="3">
        <f>Tabela1[[#This Row],[valor_contrapartida]]+Tabela1[[#This Row],[valor_orgao]]</f>
        <v>545470.24</v>
      </c>
      <c r="H289" s="3">
        <v>45470.239999999998</v>
      </c>
      <c r="I289" s="3">
        <v>500000</v>
      </c>
    </row>
    <row r="290" spans="1:9" x14ac:dyDescent="0.25">
      <c r="A290" t="s">
        <v>0</v>
      </c>
      <c r="B290" t="s">
        <v>342</v>
      </c>
      <c r="C290" t="s">
        <v>343</v>
      </c>
      <c r="D290" t="str">
        <f>RIGHT(lista!$C290,4)</f>
        <v>2022</v>
      </c>
      <c r="E290" t="s">
        <v>1084</v>
      </c>
      <c r="F290" s="1">
        <v>46198</v>
      </c>
      <c r="G290" s="3">
        <f>Tabela1[[#This Row],[valor_contrapartida]]+Tabela1[[#This Row],[valor_orgao]]</f>
        <v>2013771.27</v>
      </c>
      <c r="H290" s="3">
        <v>100688.57</v>
      </c>
      <c r="I290" s="3">
        <v>1913082.7</v>
      </c>
    </row>
    <row r="291" spans="1:9" x14ac:dyDescent="0.25">
      <c r="A291" t="s">
        <v>0</v>
      </c>
      <c r="B291" t="s">
        <v>342</v>
      </c>
      <c r="C291" t="s">
        <v>344</v>
      </c>
      <c r="D291" t="str">
        <f>RIGHT(lista!$C291,4)</f>
        <v>2022</v>
      </c>
      <c r="E291" t="s">
        <v>1085</v>
      </c>
      <c r="F291" s="1">
        <v>45852</v>
      </c>
      <c r="G291" s="3">
        <f>Tabela1[[#This Row],[valor_contrapartida]]+Tabela1[[#This Row],[valor_orgao]]</f>
        <v>2105860.41</v>
      </c>
      <c r="H291" s="3">
        <v>105860.41</v>
      </c>
      <c r="I291" s="3">
        <v>2000000</v>
      </c>
    </row>
    <row r="292" spans="1:9" x14ac:dyDescent="0.25">
      <c r="A292" t="s">
        <v>0</v>
      </c>
      <c r="B292" t="s">
        <v>342</v>
      </c>
      <c r="C292" t="s">
        <v>345</v>
      </c>
      <c r="D292" t="str">
        <f>RIGHT(lista!$C292,4)</f>
        <v>2022</v>
      </c>
      <c r="E292" t="s">
        <v>1086</v>
      </c>
      <c r="F292" s="1">
        <v>45999</v>
      </c>
      <c r="G292" s="3">
        <f>Tabela1[[#This Row],[valor_contrapartida]]+Tabela1[[#This Row],[valor_orgao]]</f>
        <v>5361072.96</v>
      </c>
      <c r="H292" s="3">
        <v>361072.96</v>
      </c>
      <c r="I292" s="3">
        <v>5000000</v>
      </c>
    </row>
    <row r="293" spans="1:9" x14ac:dyDescent="0.25">
      <c r="A293" t="s">
        <v>0</v>
      </c>
      <c r="B293" t="s">
        <v>342</v>
      </c>
      <c r="C293" t="s">
        <v>346</v>
      </c>
      <c r="D293" t="str">
        <f>RIGHT(lista!$C293,4)</f>
        <v>2022</v>
      </c>
      <c r="E293" t="s">
        <v>1087</v>
      </c>
      <c r="F293" s="1">
        <v>46313</v>
      </c>
      <c r="G293" s="3">
        <f>Tabela1[[#This Row],[valor_contrapartida]]+Tabela1[[#This Row],[valor_orgao]]</f>
        <v>6233882.0499999998</v>
      </c>
      <c r="H293" s="3">
        <v>392567.25</v>
      </c>
      <c r="I293" s="3">
        <v>5841314.7999999998</v>
      </c>
    </row>
    <row r="294" spans="1:9" x14ac:dyDescent="0.25">
      <c r="A294" t="s">
        <v>0</v>
      </c>
      <c r="B294" t="s">
        <v>342</v>
      </c>
      <c r="C294" t="s">
        <v>347</v>
      </c>
      <c r="D294" t="str">
        <f>RIGHT(lista!$C294,4)</f>
        <v>2022</v>
      </c>
      <c r="E294" t="s">
        <v>1088</v>
      </c>
      <c r="F294" s="1">
        <v>45839</v>
      </c>
      <c r="G294" s="3">
        <f>Tabela1[[#This Row],[valor_contrapartida]]+Tabela1[[#This Row],[valor_orgao]]</f>
        <v>352661.71</v>
      </c>
      <c r="H294" s="3">
        <v>52661.71</v>
      </c>
      <c r="I294" s="3">
        <v>300000</v>
      </c>
    </row>
    <row r="295" spans="1:9" x14ac:dyDescent="0.25">
      <c r="A295" t="s">
        <v>0</v>
      </c>
      <c r="B295" t="s">
        <v>342</v>
      </c>
      <c r="C295" t="s">
        <v>348</v>
      </c>
      <c r="D295" t="str">
        <f>RIGHT(lista!$C295,4)</f>
        <v>2023</v>
      </c>
      <c r="E295" t="s">
        <v>1089</v>
      </c>
      <c r="F295" s="1">
        <v>45839</v>
      </c>
      <c r="G295" s="3">
        <f>Tabela1[[#This Row],[valor_contrapartida]]+Tabela1[[#This Row],[valor_orgao]]</f>
        <v>6311101.0199999996</v>
      </c>
      <c r="H295" s="3">
        <v>315556.02</v>
      </c>
      <c r="I295" s="3">
        <v>5995545</v>
      </c>
    </row>
    <row r="296" spans="1:9" x14ac:dyDescent="0.25">
      <c r="A296" t="s">
        <v>0</v>
      </c>
      <c r="B296" t="s">
        <v>342</v>
      </c>
      <c r="C296" t="s">
        <v>433</v>
      </c>
      <c r="D296" t="str">
        <f>RIGHT(lista!$C296,4)</f>
        <v>2022</v>
      </c>
      <c r="E296" t="s">
        <v>1090</v>
      </c>
      <c r="F296" s="1">
        <v>46315</v>
      </c>
      <c r="G296" s="3">
        <f>Tabela1[[#This Row],[valor_contrapartida]]+Tabela1[[#This Row],[valor_orgao]]</f>
        <v>5263047.47</v>
      </c>
      <c r="H296" s="3">
        <v>263047.46999999997</v>
      </c>
      <c r="I296" s="3">
        <v>5000000</v>
      </c>
    </row>
    <row r="297" spans="1:9" x14ac:dyDescent="0.25">
      <c r="A297" t="s">
        <v>0</v>
      </c>
      <c r="B297" t="s">
        <v>349</v>
      </c>
      <c r="C297" t="s">
        <v>350</v>
      </c>
      <c r="D297" t="str">
        <f>RIGHT(lista!$C297,4)</f>
        <v>2022</v>
      </c>
      <c r="E297" t="s">
        <v>1091</v>
      </c>
      <c r="F297" s="1">
        <v>45877</v>
      </c>
      <c r="G297" s="3">
        <f>Tabela1[[#This Row],[valor_contrapartida]]+Tabela1[[#This Row],[valor_orgao]]</f>
        <v>2450625.94</v>
      </c>
      <c r="H297" s="3">
        <v>98025.04</v>
      </c>
      <c r="I297" s="3">
        <v>2352600.9</v>
      </c>
    </row>
    <row r="298" spans="1:9" x14ac:dyDescent="0.25">
      <c r="A298" t="s">
        <v>0</v>
      </c>
      <c r="B298" t="s">
        <v>351</v>
      </c>
      <c r="C298" t="s">
        <v>352</v>
      </c>
      <c r="D298" t="str">
        <f>RIGHT(lista!$C298,4)</f>
        <v>2022</v>
      </c>
      <c r="E298" t="s">
        <v>1092</v>
      </c>
      <c r="F298" s="1">
        <v>45457</v>
      </c>
      <c r="G298" s="3">
        <f>Tabela1[[#This Row],[valor_contrapartida]]+Tabela1[[#This Row],[valor_orgao]]</f>
        <v>347635.94</v>
      </c>
      <c r="H298" s="3">
        <v>13905.44</v>
      </c>
      <c r="I298" s="3">
        <v>333730.5</v>
      </c>
    </row>
    <row r="299" spans="1:9" x14ac:dyDescent="0.25">
      <c r="A299" t="s">
        <v>0</v>
      </c>
      <c r="B299" t="s">
        <v>351</v>
      </c>
      <c r="C299" t="s">
        <v>353</v>
      </c>
      <c r="D299" t="str">
        <f>RIGHT(lista!$C299,4)</f>
        <v>2022</v>
      </c>
      <c r="E299" t="s">
        <v>1093</v>
      </c>
      <c r="F299" s="1">
        <v>46204</v>
      </c>
      <c r="G299" s="3">
        <f>Tabela1[[#This Row],[valor_contrapartida]]+Tabela1[[#This Row],[valor_orgao]]</f>
        <v>2864298.6500000004</v>
      </c>
      <c r="H299" s="3">
        <v>114571.95</v>
      </c>
      <c r="I299" s="3">
        <v>2749726.7</v>
      </c>
    </row>
    <row r="300" spans="1:9" x14ac:dyDescent="0.25">
      <c r="A300" t="s">
        <v>0</v>
      </c>
      <c r="B300" t="s">
        <v>354</v>
      </c>
      <c r="C300" t="s">
        <v>355</v>
      </c>
      <c r="D300" t="str">
        <f>RIGHT(lista!$C300,4)</f>
        <v>2022</v>
      </c>
      <c r="E300" t="s">
        <v>1094</v>
      </c>
      <c r="F300" s="1">
        <v>46042</v>
      </c>
      <c r="G300" s="3">
        <f>Tabela1[[#This Row],[valor_contrapartida]]+Tabela1[[#This Row],[valor_orgao]]</f>
        <v>549894.27</v>
      </c>
      <c r="H300" s="3">
        <v>21995.77</v>
      </c>
      <c r="I300" s="3">
        <v>527898.5</v>
      </c>
    </row>
    <row r="301" spans="1:9" x14ac:dyDescent="0.25">
      <c r="A301" t="s">
        <v>0</v>
      </c>
      <c r="B301" t="s">
        <v>356</v>
      </c>
      <c r="C301" t="s">
        <v>357</v>
      </c>
      <c r="D301" t="str">
        <f>RIGHT(lista!$C301,4)</f>
        <v>2022</v>
      </c>
      <c r="E301" t="s">
        <v>1095</v>
      </c>
      <c r="F301" s="1">
        <v>45784</v>
      </c>
      <c r="G301" s="3">
        <f>Tabela1[[#This Row],[valor_contrapartida]]+Tabela1[[#This Row],[valor_orgao]]</f>
        <v>425875.23</v>
      </c>
      <c r="H301" s="3">
        <v>225875.23</v>
      </c>
      <c r="I301" s="3">
        <v>200000</v>
      </c>
    </row>
    <row r="302" spans="1:9" x14ac:dyDescent="0.25">
      <c r="A302" t="s">
        <v>0</v>
      </c>
      <c r="B302" t="s">
        <v>356</v>
      </c>
      <c r="C302" t="s">
        <v>358</v>
      </c>
      <c r="D302" t="str">
        <f>RIGHT(lista!$C302,4)</f>
        <v>2022</v>
      </c>
      <c r="E302" t="s">
        <v>1096</v>
      </c>
      <c r="F302" s="1">
        <v>46353</v>
      </c>
      <c r="G302" s="3">
        <f>Tabela1[[#This Row],[valor_contrapartida]]+Tabela1[[#This Row],[valor_orgao]]</f>
        <v>428952.39</v>
      </c>
      <c r="H302" s="3">
        <v>28952.39</v>
      </c>
      <c r="I302" s="3">
        <v>400000</v>
      </c>
    </row>
    <row r="303" spans="1:9" x14ac:dyDescent="0.25">
      <c r="A303" t="s">
        <v>0</v>
      </c>
      <c r="B303" t="s">
        <v>356</v>
      </c>
      <c r="C303" t="s">
        <v>359</v>
      </c>
      <c r="D303" t="str">
        <f>RIGHT(lista!$C303,4)</f>
        <v>2022</v>
      </c>
      <c r="E303" t="s">
        <v>1097</v>
      </c>
      <c r="F303" s="1">
        <v>45834</v>
      </c>
      <c r="G303" s="3">
        <f>Tabela1[[#This Row],[valor_contrapartida]]+Tabela1[[#This Row],[valor_orgao]]</f>
        <v>381524.47</v>
      </c>
      <c r="H303" s="3">
        <v>81524.47</v>
      </c>
      <c r="I303" s="3">
        <v>300000</v>
      </c>
    </row>
    <row r="304" spans="1:9" x14ac:dyDescent="0.25">
      <c r="A304" t="s">
        <v>0</v>
      </c>
      <c r="B304" t="s">
        <v>356</v>
      </c>
      <c r="C304" t="s">
        <v>360</v>
      </c>
      <c r="D304" t="str">
        <f>RIGHT(lista!$C304,4)</f>
        <v>2024</v>
      </c>
      <c r="E304" t="s">
        <v>1098</v>
      </c>
      <c r="F304" s="1">
        <v>46208</v>
      </c>
      <c r="G304" s="3">
        <f>Tabela1[[#This Row],[valor_contrapartida]]+Tabela1[[#This Row],[valor_orgao]]</f>
        <v>631058.57999999996</v>
      </c>
      <c r="H304" s="3">
        <v>31058.58</v>
      </c>
      <c r="I304" s="3">
        <v>600000</v>
      </c>
    </row>
    <row r="305" spans="1:9" x14ac:dyDescent="0.25">
      <c r="A305" t="s">
        <v>0</v>
      </c>
      <c r="B305" t="s">
        <v>361</v>
      </c>
      <c r="C305" t="s">
        <v>362</v>
      </c>
      <c r="D305" t="str">
        <f>RIGHT(lista!$C305,4)</f>
        <v>2022</v>
      </c>
      <c r="E305" t="s">
        <v>1099</v>
      </c>
      <c r="F305" s="1">
        <v>45838</v>
      </c>
      <c r="G305" s="3">
        <f>Tabela1[[#This Row],[valor_contrapartida]]+Tabela1[[#This Row],[valor_orgao]]</f>
        <v>1564728.02</v>
      </c>
      <c r="H305" s="3">
        <v>64728.02</v>
      </c>
      <c r="I305" s="3">
        <v>1500000</v>
      </c>
    </row>
    <row r="306" spans="1:9" x14ac:dyDescent="0.25">
      <c r="A306" t="s">
        <v>0</v>
      </c>
      <c r="B306" t="s">
        <v>361</v>
      </c>
      <c r="C306" t="s">
        <v>363</v>
      </c>
      <c r="D306" t="str">
        <f>RIGHT(lista!$C306,4)</f>
        <v>2022</v>
      </c>
      <c r="E306" t="s">
        <v>1100</v>
      </c>
      <c r="F306" s="1">
        <v>46204</v>
      </c>
      <c r="G306" s="3">
        <f>Tabela1[[#This Row],[valor_contrapartida]]+Tabela1[[#This Row],[valor_orgao]]</f>
        <v>3272452.4</v>
      </c>
      <c r="H306" s="3">
        <v>130898.1</v>
      </c>
      <c r="I306" s="3">
        <v>3141554.3</v>
      </c>
    </row>
    <row r="307" spans="1:9" x14ac:dyDescent="0.25">
      <c r="A307" t="s">
        <v>0</v>
      </c>
      <c r="B307" t="s">
        <v>364</v>
      </c>
      <c r="C307" t="s">
        <v>365</v>
      </c>
      <c r="D307" t="str">
        <f>RIGHT(lista!$C307,4)</f>
        <v>2021</v>
      </c>
      <c r="E307" t="s">
        <v>1101</v>
      </c>
      <c r="F307" s="1">
        <v>46383</v>
      </c>
      <c r="G307" s="3">
        <f>Tabela1[[#This Row],[valor_contrapartida]]+Tabela1[[#This Row],[valor_orgao]]</f>
        <v>25185052.550000001</v>
      </c>
      <c r="H307" s="3">
        <v>2518505.25</v>
      </c>
      <c r="I307" s="3">
        <v>22666547.300000001</v>
      </c>
    </row>
    <row r="308" spans="1:9" x14ac:dyDescent="0.25">
      <c r="A308" t="s">
        <v>0</v>
      </c>
      <c r="B308" t="s">
        <v>364</v>
      </c>
      <c r="C308" t="s">
        <v>366</v>
      </c>
      <c r="D308" t="str">
        <f>RIGHT(lista!$C308,4)</f>
        <v>2022</v>
      </c>
      <c r="E308" t="s">
        <v>1102</v>
      </c>
      <c r="F308" s="1">
        <v>46377</v>
      </c>
      <c r="G308" s="3">
        <f>Tabela1[[#This Row],[valor_contrapartida]]+Tabela1[[#This Row],[valor_orgao]]</f>
        <v>19697850.439999998</v>
      </c>
      <c r="H308" s="3">
        <v>1969785.04</v>
      </c>
      <c r="I308" s="3">
        <v>17728065.399999999</v>
      </c>
    </row>
    <row r="309" spans="1:9" x14ac:dyDescent="0.25">
      <c r="A309" t="s">
        <v>0</v>
      </c>
      <c r="B309" t="s">
        <v>364</v>
      </c>
      <c r="C309" t="s">
        <v>367</v>
      </c>
      <c r="D309" t="str">
        <f>RIGHT(lista!$C309,4)</f>
        <v>2024</v>
      </c>
      <c r="E309" t="s">
        <v>1103</v>
      </c>
      <c r="F309" s="1">
        <v>46080</v>
      </c>
      <c r="G309" s="3">
        <f>Tabela1[[#This Row],[valor_contrapartida]]+Tabela1[[#This Row],[valor_orgao]]</f>
        <v>2035423.05</v>
      </c>
      <c r="H309" s="3">
        <v>1035423.05</v>
      </c>
      <c r="I309" s="3">
        <v>1000000</v>
      </c>
    </row>
    <row r="310" spans="1:9" x14ac:dyDescent="0.25">
      <c r="A310" t="s">
        <v>0</v>
      </c>
      <c r="B310" t="s">
        <v>364</v>
      </c>
      <c r="C310" t="s">
        <v>368</v>
      </c>
      <c r="D310" t="str">
        <f>RIGHT(lista!$C310,4)</f>
        <v>2024</v>
      </c>
      <c r="E310" t="s">
        <v>1104</v>
      </c>
      <c r="F310" s="1">
        <v>46080</v>
      </c>
      <c r="G310" s="3">
        <f>Tabela1[[#This Row],[valor_contrapartida]]+Tabela1[[#This Row],[valor_orgao]]</f>
        <v>2940121.42</v>
      </c>
      <c r="H310" s="3">
        <v>1035423.05</v>
      </c>
      <c r="I310" s="3">
        <v>1904698.37</v>
      </c>
    </row>
    <row r="311" spans="1:9" x14ac:dyDescent="0.25">
      <c r="A311" t="s">
        <v>0</v>
      </c>
      <c r="B311" t="s">
        <v>369</v>
      </c>
      <c r="C311" t="s">
        <v>370</v>
      </c>
      <c r="D311" t="str">
        <f>RIGHT(lista!$C311,4)</f>
        <v>2022</v>
      </c>
      <c r="E311" t="s">
        <v>1105</v>
      </c>
      <c r="F311" s="1">
        <v>45885</v>
      </c>
      <c r="G311" s="3">
        <f>Tabela1[[#This Row],[valor_contrapartida]]+Tabela1[[#This Row],[valor_orgao]]</f>
        <v>1195985.3500000001</v>
      </c>
      <c r="H311" s="3">
        <v>119598.53</v>
      </c>
      <c r="I311" s="3">
        <v>1076386.82</v>
      </c>
    </row>
    <row r="312" spans="1:9" x14ac:dyDescent="0.25">
      <c r="A312" t="s">
        <v>0</v>
      </c>
      <c r="B312" t="s">
        <v>369</v>
      </c>
      <c r="C312" t="s">
        <v>371</v>
      </c>
      <c r="D312" t="str">
        <f>RIGHT(lista!$C312,4)</f>
        <v>2022</v>
      </c>
      <c r="E312" t="s">
        <v>1106</v>
      </c>
      <c r="F312" s="1">
        <v>46365</v>
      </c>
      <c r="G312" s="3">
        <f>Tabela1[[#This Row],[valor_contrapartida]]+Tabela1[[#This Row],[valor_orgao]]</f>
        <v>3919067.14</v>
      </c>
      <c r="H312" s="3">
        <v>196067.14</v>
      </c>
      <c r="I312" s="3">
        <v>3723000</v>
      </c>
    </row>
    <row r="313" spans="1:9" x14ac:dyDescent="0.25">
      <c r="A313" t="s">
        <v>0</v>
      </c>
      <c r="B313" t="s">
        <v>369</v>
      </c>
      <c r="C313" t="s">
        <v>372</v>
      </c>
      <c r="D313" t="str">
        <f>RIGHT(lista!$C313,4)</f>
        <v>2022</v>
      </c>
      <c r="E313" t="s">
        <v>1107</v>
      </c>
      <c r="F313" s="1">
        <v>46115</v>
      </c>
      <c r="G313" s="3">
        <f>Tabela1[[#This Row],[valor_contrapartida]]+Tabela1[[#This Row],[valor_orgao]]</f>
        <v>1102045.3</v>
      </c>
      <c r="H313" s="3">
        <v>102045.3</v>
      </c>
      <c r="I313" s="3">
        <v>1000000</v>
      </c>
    </row>
    <row r="314" spans="1:9" x14ac:dyDescent="0.25">
      <c r="A314" t="s">
        <v>0</v>
      </c>
      <c r="B314" t="s">
        <v>369</v>
      </c>
      <c r="C314" t="s">
        <v>373</v>
      </c>
      <c r="D314" t="str">
        <f>RIGHT(lista!$C314,4)</f>
        <v>2022</v>
      </c>
      <c r="E314" t="s">
        <v>1108</v>
      </c>
      <c r="F314" s="1">
        <v>46056</v>
      </c>
      <c r="G314" s="3">
        <f>Tabela1[[#This Row],[valor_contrapartida]]+Tabela1[[#This Row],[valor_orgao]]</f>
        <v>4316624.78</v>
      </c>
      <c r="H314" s="3">
        <v>234503.18</v>
      </c>
      <c r="I314" s="3">
        <v>4082121.6</v>
      </c>
    </row>
    <row r="315" spans="1:9" x14ac:dyDescent="0.25">
      <c r="A315" t="s">
        <v>0</v>
      </c>
      <c r="B315" t="s">
        <v>369</v>
      </c>
      <c r="C315" t="s">
        <v>374</v>
      </c>
      <c r="D315" t="str">
        <f>RIGHT(lista!$C315,4)</f>
        <v>2022</v>
      </c>
      <c r="E315" t="s">
        <v>1109</v>
      </c>
      <c r="F315" s="1">
        <v>46204</v>
      </c>
      <c r="G315" s="3">
        <f>Tabela1[[#This Row],[valor_contrapartida]]+Tabela1[[#This Row],[valor_orgao]]</f>
        <v>2320294.5099999998</v>
      </c>
      <c r="H315" s="3">
        <v>116014.73</v>
      </c>
      <c r="I315" s="3">
        <v>2204279.7799999998</v>
      </c>
    </row>
    <row r="316" spans="1:9" x14ac:dyDescent="0.25">
      <c r="A316" t="s">
        <v>0</v>
      </c>
      <c r="B316" t="s">
        <v>369</v>
      </c>
      <c r="C316" t="s">
        <v>375</v>
      </c>
      <c r="D316" t="str">
        <f>RIGHT(lista!$C316,4)</f>
        <v>2024</v>
      </c>
      <c r="E316" t="s">
        <v>1110</v>
      </c>
      <c r="F316" s="1">
        <v>46310</v>
      </c>
      <c r="G316" s="3">
        <f>Tabela1[[#This Row],[valor_contrapartida]]+Tabela1[[#This Row],[valor_orgao]]</f>
        <v>583717.80000000005</v>
      </c>
      <c r="H316" s="3">
        <v>183717.8</v>
      </c>
      <c r="I316" s="3">
        <v>400000</v>
      </c>
    </row>
    <row r="317" spans="1:9" x14ac:dyDescent="0.25">
      <c r="A317" t="s">
        <v>0</v>
      </c>
      <c r="B317" t="s">
        <v>369</v>
      </c>
      <c r="C317" t="s">
        <v>376</v>
      </c>
      <c r="D317" t="str">
        <f>RIGHT(lista!$C317,4)</f>
        <v>2024</v>
      </c>
      <c r="E317" t="s">
        <v>1111</v>
      </c>
      <c r="F317" s="1">
        <v>46206</v>
      </c>
      <c r="G317" s="3">
        <f>Tabela1[[#This Row],[valor_contrapartida]]+Tabela1[[#This Row],[valor_orgao]]</f>
        <v>1258156.82</v>
      </c>
      <c r="H317" s="3">
        <v>258156.82</v>
      </c>
      <c r="I317" s="3">
        <v>1000000</v>
      </c>
    </row>
    <row r="318" spans="1:9" x14ac:dyDescent="0.25">
      <c r="A318" t="s">
        <v>0</v>
      </c>
      <c r="B318" t="s">
        <v>377</v>
      </c>
      <c r="C318" t="s">
        <v>378</v>
      </c>
      <c r="D318" t="str">
        <f>RIGHT(lista!$C318,4)</f>
        <v>2022</v>
      </c>
      <c r="E318" t="s">
        <v>1112</v>
      </c>
      <c r="F318" s="1">
        <v>46204</v>
      </c>
      <c r="G318" s="3">
        <f>Tabela1[[#This Row],[valor_contrapartida]]+Tabela1[[#This Row],[valor_orgao]]</f>
        <v>4314115.6100000003</v>
      </c>
      <c r="H318" s="3">
        <v>172571.61</v>
      </c>
      <c r="I318" s="3">
        <v>4141544</v>
      </c>
    </row>
    <row r="319" spans="1:9" x14ac:dyDescent="0.25">
      <c r="A319" t="s">
        <v>0</v>
      </c>
      <c r="B319" t="s">
        <v>377</v>
      </c>
      <c r="C319" t="s">
        <v>379</v>
      </c>
      <c r="D319" t="str">
        <f>RIGHT(lista!$C319,4)</f>
        <v>2023</v>
      </c>
      <c r="E319" t="s">
        <v>1113</v>
      </c>
      <c r="F319" s="1">
        <v>46238</v>
      </c>
      <c r="G319" s="3">
        <f>Tabela1[[#This Row],[valor_contrapartida]]+Tabela1[[#This Row],[valor_orgao]]</f>
        <v>2530302.2000000002</v>
      </c>
      <c r="H319" s="3">
        <v>130302.2</v>
      </c>
      <c r="I319" s="3">
        <v>2400000</v>
      </c>
    </row>
    <row r="320" spans="1:9" x14ac:dyDescent="0.25">
      <c r="A320" t="s">
        <v>0</v>
      </c>
      <c r="B320" t="s">
        <v>377</v>
      </c>
      <c r="C320" t="s">
        <v>380</v>
      </c>
      <c r="D320" t="str">
        <f>RIGHT(lista!$C320,4)</f>
        <v>2024</v>
      </c>
      <c r="E320" t="s">
        <v>1114</v>
      </c>
      <c r="F320" s="1">
        <v>46096</v>
      </c>
      <c r="G320" s="3">
        <f>Tabela1[[#This Row],[valor_contrapartida]]+Tabela1[[#This Row],[valor_orgao]]</f>
        <v>784553.27</v>
      </c>
      <c r="H320" s="3">
        <v>31382.14</v>
      </c>
      <c r="I320" s="3">
        <v>753171.13</v>
      </c>
    </row>
    <row r="321" spans="1:9" x14ac:dyDescent="0.25">
      <c r="A321" t="s">
        <v>0</v>
      </c>
      <c r="B321" t="s">
        <v>381</v>
      </c>
      <c r="C321" t="s">
        <v>382</v>
      </c>
      <c r="D321" t="str">
        <f>RIGHT(lista!$C321,4)</f>
        <v>2022</v>
      </c>
      <c r="E321" t="s">
        <v>1115</v>
      </c>
      <c r="F321" s="1">
        <v>46138</v>
      </c>
      <c r="G321" s="3">
        <f>Tabela1[[#This Row],[valor_contrapartida]]+Tabela1[[#This Row],[valor_orgao]]</f>
        <v>3173369.33</v>
      </c>
      <c r="H321" s="3">
        <v>151366.18</v>
      </c>
      <c r="I321" s="3">
        <v>3022003.15</v>
      </c>
    </row>
    <row r="322" spans="1:9" x14ac:dyDescent="0.25">
      <c r="A322" t="s">
        <v>0</v>
      </c>
      <c r="B322" t="s">
        <v>381</v>
      </c>
      <c r="C322" t="s">
        <v>383</v>
      </c>
      <c r="D322" t="str">
        <f>RIGHT(lista!$C322,4)</f>
        <v>2022</v>
      </c>
      <c r="E322" t="s">
        <v>1116</v>
      </c>
      <c r="F322" s="1">
        <v>46138</v>
      </c>
      <c r="G322" s="3">
        <f>Tabela1[[#This Row],[valor_contrapartida]]+Tabela1[[#This Row],[valor_orgao]]</f>
        <v>4561514.3999999994</v>
      </c>
      <c r="H322" s="3">
        <v>228075.72</v>
      </c>
      <c r="I322" s="3">
        <v>4333438.68</v>
      </c>
    </row>
    <row r="323" spans="1:9" x14ac:dyDescent="0.25">
      <c r="A323" t="s">
        <v>0</v>
      </c>
      <c r="B323" t="s">
        <v>381</v>
      </c>
      <c r="C323" t="s">
        <v>384</v>
      </c>
      <c r="D323" t="str">
        <f>RIGHT(lista!$C323,4)</f>
        <v>2024</v>
      </c>
      <c r="E323" t="s">
        <v>1117</v>
      </c>
      <c r="F323" s="1">
        <v>46075</v>
      </c>
      <c r="G323" s="3">
        <f>Tabela1[[#This Row],[valor_contrapartida]]+Tabela1[[#This Row],[valor_orgao]]</f>
        <v>577677.26</v>
      </c>
      <c r="H323" s="3">
        <v>105071.27</v>
      </c>
      <c r="I323" s="3">
        <v>472605.99</v>
      </c>
    </row>
    <row r="324" spans="1:9" x14ac:dyDescent="0.25">
      <c r="A324" t="s">
        <v>0</v>
      </c>
      <c r="B324" t="s">
        <v>381</v>
      </c>
      <c r="C324" t="s">
        <v>431</v>
      </c>
      <c r="D324" t="str">
        <f>RIGHT(lista!$C324,4)</f>
        <v>2024</v>
      </c>
      <c r="E324" t="s">
        <v>1118</v>
      </c>
      <c r="F324" s="1">
        <v>46295</v>
      </c>
      <c r="G324" s="3">
        <f>Tabela1[[#This Row],[valor_contrapartida]]+Tabela1[[#This Row],[valor_orgao]]</f>
        <v>10130181.529999999</v>
      </c>
      <c r="H324" s="3">
        <v>506509.08</v>
      </c>
      <c r="I324" s="3">
        <v>9623672.4499999993</v>
      </c>
    </row>
    <row r="325" spans="1:9" x14ac:dyDescent="0.25">
      <c r="A325" t="s">
        <v>0</v>
      </c>
      <c r="B325" t="s">
        <v>385</v>
      </c>
      <c r="C325" t="s">
        <v>386</v>
      </c>
      <c r="D325" t="str">
        <f>RIGHT(lista!$C325,4)</f>
        <v>2018</v>
      </c>
      <c r="E325" t="s">
        <v>1119</v>
      </c>
      <c r="F325" s="1">
        <v>44728</v>
      </c>
      <c r="G325" s="3">
        <f>Tabela1[[#This Row],[valor_contrapartida]]+Tabela1[[#This Row],[valor_orgao]]</f>
        <v>1114991.8600000001</v>
      </c>
      <c r="H325" s="3">
        <v>114991.86</v>
      </c>
      <c r="I325" s="3">
        <v>1000000</v>
      </c>
    </row>
    <row r="326" spans="1:9" x14ac:dyDescent="0.25">
      <c r="A326" t="s">
        <v>0</v>
      </c>
      <c r="B326" t="s">
        <v>387</v>
      </c>
      <c r="C326" t="s">
        <v>388</v>
      </c>
      <c r="D326" t="str">
        <f>RIGHT(lista!$C326,4)</f>
        <v>2022</v>
      </c>
      <c r="E326" t="s">
        <v>1120</v>
      </c>
      <c r="F326" s="1">
        <v>45839</v>
      </c>
      <c r="G326" s="3">
        <f>Tabela1[[#This Row],[valor_contrapartida]]+Tabela1[[#This Row],[valor_orgao]]</f>
        <v>173150.31</v>
      </c>
      <c r="H326" s="3">
        <v>19150.310000000001</v>
      </c>
      <c r="I326" s="3">
        <v>154000</v>
      </c>
    </row>
    <row r="327" spans="1:9" x14ac:dyDescent="0.25">
      <c r="A327" t="s">
        <v>0</v>
      </c>
      <c r="B327" t="s">
        <v>387</v>
      </c>
      <c r="C327" t="s">
        <v>389</v>
      </c>
      <c r="D327" t="str">
        <f>RIGHT(lista!$C327,4)</f>
        <v>2024</v>
      </c>
      <c r="E327" t="s">
        <v>1121</v>
      </c>
      <c r="F327" s="1">
        <v>46121</v>
      </c>
      <c r="G327" s="3">
        <f>Tabela1[[#This Row],[valor_contrapartida]]+Tabela1[[#This Row],[valor_orgao]]</f>
        <v>5124730.7300000004</v>
      </c>
      <c r="H327" s="3">
        <v>256236.54</v>
      </c>
      <c r="I327" s="3">
        <v>4868494.1900000004</v>
      </c>
    </row>
    <row r="328" spans="1:9" x14ac:dyDescent="0.25">
      <c r="A328" t="s">
        <v>0</v>
      </c>
      <c r="B328" t="s">
        <v>387</v>
      </c>
      <c r="C328" t="s">
        <v>432</v>
      </c>
      <c r="D328" t="str">
        <f>RIGHT(lista!$C328,4)</f>
        <v>2022</v>
      </c>
      <c r="E328" t="s">
        <v>1122</v>
      </c>
      <c r="F328" s="1">
        <v>45702</v>
      </c>
      <c r="G328" s="3">
        <f>Tabela1[[#This Row],[valor_contrapartida]]+Tabela1[[#This Row],[valor_orgao]]</f>
        <v>4828271.5200000005</v>
      </c>
      <c r="H328" s="3">
        <v>336068.54</v>
      </c>
      <c r="I328" s="3">
        <v>4492202.9800000004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0"/>
  <sheetViews>
    <sheetView tabSelected="1" workbookViewId="0">
      <selection activeCell="H13" sqref="H13"/>
    </sheetView>
  </sheetViews>
  <sheetFormatPr defaultRowHeight="15" x14ac:dyDescent="0.25"/>
  <cols>
    <col min="1" max="1" width="19.7109375" bestFit="1" customWidth="1"/>
    <col min="2" max="2" width="17.85546875" bestFit="1" customWidth="1"/>
    <col min="3" max="3" width="16.140625" bestFit="1" customWidth="1"/>
    <col min="4" max="4" width="10.85546875" bestFit="1" customWidth="1"/>
    <col min="5" max="5" width="18.140625" bestFit="1" customWidth="1"/>
    <col min="6" max="6" width="12.85546875" bestFit="1" customWidth="1"/>
  </cols>
  <sheetData>
    <row r="1" spans="1:6" x14ac:dyDescent="0.25">
      <c r="A1" t="s">
        <v>414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</row>
    <row r="2" spans="1:6" x14ac:dyDescent="0.25">
      <c r="A2" t="s">
        <v>2</v>
      </c>
      <c r="B2">
        <v>1</v>
      </c>
      <c r="C2" s="2">
        <v>270000</v>
      </c>
      <c r="D2" s="2" t="s">
        <v>390</v>
      </c>
      <c r="E2" s="1">
        <v>44743</v>
      </c>
      <c r="F2" s="2">
        <v>270000</v>
      </c>
    </row>
    <row r="3" spans="1:6" x14ac:dyDescent="0.25">
      <c r="A3" t="s">
        <v>2</v>
      </c>
      <c r="B3">
        <v>2</v>
      </c>
      <c r="C3" s="2">
        <v>3763419.74</v>
      </c>
      <c r="D3" s="2" t="s">
        <v>390</v>
      </c>
      <c r="E3" s="1">
        <v>45287</v>
      </c>
      <c r="F3" s="2">
        <v>3763419.74</v>
      </c>
    </row>
    <row r="4" spans="1:6" x14ac:dyDescent="0.25">
      <c r="A4" t="s">
        <v>2</v>
      </c>
      <c r="B4">
        <v>3</v>
      </c>
      <c r="C4" s="2">
        <v>4433249.9800000004</v>
      </c>
      <c r="D4" s="2" t="s">
        <v>391</v>
      </c>
      <c r="E4" s="1"/>
      <c r="F4" s="2"/>
    </row>
    <row r="5" spans="1:6" x14ac:dyDescent="0.25">
      <c r="A5" t="s">
        <v>2</v>
      </c>
      <c r="B5">
        <v>4</v>
      </c>
      <c r="C5" s="2">
        <v>1150506.3799999999</v>
      </c>
      <c r="D5" s="2" t="s">
        <v>391</v>
      </c>
      <c r="E5" s="1"/>
      <c r="F5" s="2"/>
    </row>
    <row r="6" spans="1:6" x14ac:dyDescent="0.25">
      <c r="A6" t="s">
        <v>2</v>
      </c>
      <c r="B6">
        <v>5</v>
      </c>
      <c r="C6" s="2">
        <v>297163.21999999997</v>
      </c>
      <c r="D6" s="2" t="s">
        <v>391</v>
      </c>
      <c r="E6" s="1"/>
      <c r="F6" s="2"/>
    </row>
    <row r="7" spans="1:6" x14ac:dyDescent="0.25">
      <c r="A7" t="s">
        <v>3</v>
      </c>
      <c r="B7">
        <v>1</v>
      </c>
      <c r="C7" s="2">
        <v>500000</v>
      </c>
      <c r="D7" s="2" t="s">
        <v>390</v>
      </c>
      <c r="E7" s="1">
        <v>44743</v>
      </c>
      <c r="F7" s="2">
        <v>500000</v>
      </c>
    </row>
    <row r="8" spans="1:6" x14ac:dyDescent="0.25">
      <c r="A8" t="s">
        <v>3</v>
      </c>
      <c r="B8">
        <v>2</v>
      </c>
      <c r="C8" s="2">
        <v>4750000</v>
      </c>
      <c r="D8" s="2" t="s">
        <v>390</v>
      </c>
      <c r="E8" s="1">
        <v>45219</v>
      </c>
      <c r="F8" s="2">
        <v>4750000</v>
      </c>
    </row>
    <row r="9" spans="1:6" x14ac:dyDescent="0.25">
      <c r="A9" t="s">
        <v>3</v>
      </c>
      <c r="B9">
        <v>3</v>
      </c>
      <c r="C9" s="2">
        <v>4750000</v>
      </c>
      <c r="D9" s="2" t="s">
        <v>390</v>
      </c>
      <c r="E9" s="1">
        <v>45219</v>
      </c>
      <c r="F9" s="2">
        <v>4750000</v>
      </c>
    </row>
    <row r="10" spans="1:6" x14ac:dyDescent="0.25">
      <c r="A10" t="s">
        <v>5</v>
      </c>
      <c r="B10">
        <v>1</v>
      </c>
      <c r="C10" s="2">
        <v>149711.74</v>
      </c>
      <c r="D10" s="2" t="s">
        <v>390</v>
      </c>
      <c r="E10" s="1">
        <v>44734</v>
      </c>
      <c r="F10" s="2">
        <v>149711.74</v>
      </c>
    </row>
    <row r="11" spans="1:6" x14ac:dyDescent="0.25">
      <c r="A11" t="s">
        <v>5</v>
      </c>
      <c r="B11">
        <v>2</v>
      </c>
      <c r="C11" s="2">
        <v>149711.73000000001</v>
      </c>
      <c r="D11" s="2" t="s">
        <v>390</v>
      </c>
      <c r="E11" s="1">
        <v>45216</v>
      </c>
      <c r="F11" s="2">
        <v>149711.73000000001</v>
      </c>
    </row>
    <row r="12" spans="1:6" x14ac:dyDescent="0.25">
      <c r="A12" t="s">
        <v>6</v>
      </c>
      <c r="B12">
        <v>1</v>
      </c>
      <c r="C12" s="2">
        <v>300000</v>
      </c>
      <c r="D12" s="2" t="s">
        <v>390</v>
      </c>
      <c r="E12" s="1">
        <v>44718</v>
      </c>
      <c r="F12" s="2">
        <v>300000</v>
      </c>
    </row>
    <row r="13" spans="1:6" x14ac:dyDescent="0.25">
      <c r="A13" t="s">
        <v>6</v>
      </c>
      <c r="B13">
        <v>2</v>
      </c>
      <c r="C13" s="2">
        <v>900000</v>
      </c>
      <c r="D13" s="2" t="s">
        <v>390</v>
      </c>
      <c r="E13" s="1">
        <v>45007</v>
      </c>
      <c r="F13" s="2">
        <v>900000</v>
      </c>
    </row>
    <row r="14" spans="1:6" x14ac:dyDescent="0.25">
      <c r="A14" t="s">
        <v>6</v>
      </c>
      <c r="B14">
        <v>3</v>
      </c>
      <c r="C14" s="2">
        <v>300000</v>
      </c>
      <c r="D14" s="2" t="s">
        <v>391</v>
      </c>
      <c r="E14" s="1"/>
      <c r="F14" s="2"/>
    </row>
    <row r="15" spans="1:6" x14ac:dyDescent="0.25">
      <c r="A15" t="s">
        <v>7</v>
      </c>
      <c r="B15">
        <v>1</v>
      </c>
      <c r="C15" s="2">
        <v>187303.84</v>
      </c>
      <c r="D15" s="2" t="s">
        <v>390</v>
      </c>
      <c r="E15" s="1">
        <v>44740</v>
      </c>
      <c r="F15" s="2">
        <v>187303.84</v>
      </c>
    </row>
    <row r="16" spans="1:6" x14ac:dyDescent="0.25">
      <c r="A16" t="s">
        <v>7</v>
      </c>
      <c r="B16">
        <v>2</v>
      </c>
      <c r="C16" s="2">
        <v>62696.160000000003</v>
      </c>
      <c r="D16" s="2" t="s">
        <v>390</v>
      </c>
      <c r="E16" s="1">
        <v>45216</v>
      </c>
      <c r="F16" s="2">
        <v>62696.160000000003</v>
      </c>
    </row>
    <row r="17" spans="1:6" x14ac:dyDescent="0.25">
      <c r="A17" t="s">
        <v>8</v>
      </c>
      <c r="B17">
        <v>1</v>
      </c>
      <c r="C17" s="2">
        <v>100000</v>
      </c>
      <c r="D17" s="2" t="s">
        <v>390</v>
      </c>
      <c r="E17" s="1">
        <v>45475</v>
      </c>
      <c r="F17" s="2">
        <v>100000</v>
      </c>
    </row>
    <row r="18" spans="1:6" x14ac:dyDescent="0.25">
      <c r="A18" t="s">
        <v>8</v>
      </c>
      <c r="B18">
        <v>2</v>
      </c>
      <c r="C18" s="2">
        <v>457536.96</v>
      </c>
      <c r="D18" s="2" t="s">
        <v>390</v>
      </c>
      <c r="E18" s="1">
        <v>45994</v>
      </c>
      <c r="F18" s="2">
        <v>457536.96</v>
      </c>
    </row>
    <row r="19" spans="1:6" x14ac:dyDescent="0.25">
      <c r="A19" t="s">
        <v>8</v>
      </c>
      <c r="B19">
        <v>3</v>
      </c>
      <c r="C19" s="2">
        <v>457536.96</v>
      </c>
      <c r="D19" s="2" t="s">
        <v>391</v>
      </c>
      <c r="E19" s="1"/>
      <c r="F19" s="2"/>
    </row>
    <row r="20" spans="1:6" x14ac:dyDescent="0.25">
      <c r="A20" t="s">
        <v>10</v>
      </c>
      <c r="B20">
        <v>1</v>
      </c>
      <c r="C20" s="2">
        <v>332611.12</v>
      </c>
      <c r="D20" s="2" t="s">
        <v>390</v>
      </c>
      <c r="E20" s="1">
        <v>45040</v>
      </c>
      <c r="F20" s="2">
        <v>332611.12</v>
      </c>
    </row>
    <row r="21" spans="1:6" x14ac:dyDescent="0.25">
      <c r="A21" t="s">
        <v>10</v>
      </c>
      <c r="B21">
        <v>2</v>
      </c>
      <c r="C21" s="2">
        <v>332611.12</v>
      </c>
      <c r="D21" s="2" t="s">
        <v>390</v>
      </c>
      <c r="E21" s="1">
        <v>45407</v>
      </c>
      <c r="F21" s="2">
        <v>332611.12</v>
      </c>
    </row>
    <row r="22" spans="1:6" x14ac:dyDescent="0.25">
      <c r="A22" t="s">
        <v>10</v>
      </c>
      <c r="B22">
        <v>3</v>
      </c>
      <c r="C22" s="2">
        <v>332611.12</v>
      </c>
      <c r="D22" s="2" t="s">
        <v>391</v>
      </c>
      <c r="E22" s="1"/>
      <c r="F22" s="2"/>
    </row>
    <row r="23" spans="1:6" x14ac:dyDescent="0.25">
      <c r="A23" t="s">
        <v>11</v>
      </c>
      <c r="B23">
        <v>1</v>
      </c>
      <c r="C23" s="2">
        <v>268201.83</v>
      </c>
      <c r="D23" s="2" t="s">
        <v>390</v>
      </c>
      <c r="E23" s="1">
        <v>44734</v>
      </c>
      <c r="F23" s="2">
        <v>268201.83</v>
      </c>
    </row>
    <row r="24" spans="1:6" x14ac:dyDescent="0.25">
      <c r="A24" t="s">
        <v>11</v>
      </c>
      <c r="B24">
        <v>2</v>
      </c>
      <c r="C24" s="2">
        <v>752035.17</v>
      </c>
      <c r="D24" s="2" t="s">
        <v>390</v>
      </c>
      <c r="E24" s="1">
        <v>45288</v>
      </c>
      <c r="F24" s="2">
        <v>752035.17</v>
      </c>
    </row>
    <row r="25" spans="1:6" x14ac:dyDescent="0.25">
      <c r="A25" t="s">
        <v>11</v>
      </c>
      <c r="B25">
        <v>3</v>
      </c>
      <c r="C25" s="2">
        <v>988349.48</v>
      </c>
      <c r="D25" s="2" t="s">
        <v>390</v>
      </c>
      <c r="E25" s="1">
        <v>45288</v>
      </c>
      <c r="F25" s="2">
        <v>988349.48</v>
      </c>
    </row>
    <row r="26" spans="1:6" x14ac:dyDescent="0.25">
      <c r="A26" t="s">
        <v>11</v>
      </c>
      <c r="B26">
        <v>4</v>
      </c>
      <c r="C26" s="2">
        <v>1070025.02</v>
      </c>
      <c r="D26" s="2" t="s">
        <v>390</v>
      </c>
      <c r="E26" s="1">
        <v>45740</v>
      </c>
      <c r="F26" s="2">
        <v>1070025.02</v>
      </c>
    </row>
    <row r="27" spans="1:6" x14ac:dyDescent="0.25">
      <c r="A27" t="s">
        <v>11</v>
      </c>
      <c r="B27">
        <v>5</v>
      </c>
      <c r="C27" s="2">
        <v>1144553.17</v>
      </c>
      <c r="D27" s="2" t="s">
        <v>391</v>
      </c>
      <c r="E27" s="1"/>
      <c r="F27" s="2"/>
    </row>
    <row r="28" spans="1:6" x14ac:dyDescent="0.25">
      <c r="A28" t="s">
        <v>11</v>
      </c>
      <c r="B28">
        <v>6</v>
      </c>
      <c r="C28" s="2">
        <v>1096116.3700000001</v>
      </c>
      <c r="D28" s="2" t="s">
        <v>391</v>
      </c>
      <c r="E28" s="1"/>
      <c r="F28" s="2"/>
    </row>
    <row r="29" spans="1:6" x14ac:dyDescent="0.25">
      <c r="A29" t="s">
        <v>11</v>
      </c>
      <c r="B29">
        <v>7</v>
      </c>
      <c r="C29" s="2">
        <v>607580.62</v>
      </c>
      <c r="D29" s="2" t="s">
        <v>391</v>
      </c>
      <c r="E29" s="1"/>
      <c r="F29" s="2"/>
    </row>
    <row r="30" spans="1:6" x14ac:dyDescent="0.25">
      <c r="A30" t="s">
        <v>12</v>
      </c>
      <c r="B30">
        <v>1</v>
      </c>
      <c r="C30" s="2">
        <v>100000</v>
      </c>
      <c r="D30" s="2" t="s">
        <v>390</v>
      </c>
      <c r="E30" s="1">
        <v>45478</v>
      </c>
      <c r="F30" s="2">
        <v>100000</v>
      </c>
    </row>
    <row r="31" spans="1:6" x14ac:dyDescent="0.25">
      <c r="A31" t="s">
        <v>12</v>
      </c>
      <c r="B31">
        <v>2</v>
      </c>
      <c r="C31" s="2">
        <v>300000</v>
      </c>
      <c r="D31" s="2" t="s">
        <v>390</v>
      </c>
      <c r="E31" s="1">
        <v>45978</v>
      </c>
      <c r="F31" s="2">
        <v>300000</v>
      </c>
    </row>
    <row r="32" spans="1:6" x14ac:dyDescent="0.25">
      <c r="A32" t="s">
        <v>12</v>
      </c>
      <c r="B32">
        <v>3</v>
      </c>
      <c r="C32" s="2">
        <v>300000</v>
      </c>
      <c r="D32" s="2" t="s">
        <v>391</v>
      </c>
      <c r="E32" s="1"/>
      <c r="F32" s="2"/>
    </row>
    <row r="33" spans="1:6" x14ac:dyDescent="0.25">
      <c r="A33" t="s">
        <v>12</v>
      </c>
      <c r="B33">
        <v>4</v>
      </c>
      <c r="C33" s="2">
        <v>300000</v>
      </c>
      <c r="D33" s="2" t="s">
        <v>391</v>
      </c>
      <c r="E33" s="1"/>
      <c r="F33" s="2"/>
    </row>
    <row r="34" spans="1:6" x14ac:dyDescent="0.25">
      <c r="A34" t="s">
        <v>14</v>
      </c>
      <c r="B34">
        <v>1</v>
      </c>
      <c r="C34" s="2">
        <v>1704945</v>
      </c>
      <c r="D34" s="2" t="s">
        <v>390</v>
      </c>
      <c r="E34" s="1">
        <v>44694</v>
      </c>
      <c r="F34" s="2">
        <v>1704945</v>
      </c>
    </row>
    <row r="35" spans="1:6" x14ac:dyDescent="0.25">
      <c r="A35" t="s">
        <v>14</v>
      </c>
      <c r="B35">
        <v>2</v>
      </c>
      <c r="C35" s="2">
        <v>1704945</v>
      </c>
      <c r="D35" s="2" t="s">
        <v>390</v>
      </c>
      <c r="E35" s="1">
        <v>44959</v>
      </c>
      <c r="F35" s="2">
        <v>1704945</v>
      </c>
    </row>
    <row r="36" spans="1:6" x14ac:dyDescent="0.25">
      <c r="A36" t="s">
        <v>14</v>
      </c>
      <c r="B36">
        <v>3</v>
      </c>
      <c r="C36" s="2">
        <v>1704945</v>
      </c>
      <c r="D36" s="2" t="s">
        <v>390</v>
      </c>
      <c r="E36" s="1">
        <v>45120</v>
      </c>
      <c r="F36" s="2">
        <v>1704945</v>
      </c>
    </row>
    <row r="37" spans="1:6" x14ac:dyDescent="0.25">
      <c r="A37" t="s">
        <v>14</v>
      </c>
      <c r="B37">
        <v>4</v>
      </c>
      <c r="C37" s="2">
        <v>1704947.24</v>
      </c>
      <c r="D37" s="2" t="s">
        <v>390</v>
      </c>
      <c r="E37" s="1">
        <v>45411</v>
      </c>
      <c r="F37" s="2">
        <v>1704947.24</v>
      </c>
    </row>
    <row r="38" spans="1:6" x14ac:dyDescent="0.25">
      <c r="A38" t="s">
        <v>16</v>
      </c>
      <c r="B38">
        <v>1</v>
      </c>
      <c r="C38" s="2">
        <v>176210.84</v>
      </c>
      <c r="D38" s="2" t="s">
        <v>390</v>
      </c>
      <c r="E38" s="1">
        <v>44629</v>
      </c>
      <c r="F38" s="2">
        <v>176210.84</v>
      </c>
    </row>
    <row r="39" spans="1:6" x14ac:dyDescent="0.25">
      <c r="A39" t="s">
        <v>16</v>
      </c>
      <c r="B39">
        <v>2</v>
      </c>
      <c r="C39" s="2">
        <v>176210.85</v>
      </c>
      <c r="D39" s="2" t="s">
        <v>390</v>
      </c>
      <c r="E39" s="1">
        <v>45188</v>
      </c>
      <c r="F39" s="2">
        <v>176210.85</v>
      </c>
    </row>
    <row r="40" spans="1:6" x14ac:dyDescent="0.25">
      <c r="A40" t="s">
        <v>17</v>
      </c>
      <c r="B40">
        <v>1</v>
      </c>
      <c r="C40" s="2">
        <v>176210.84</v>
      </c>
      <c r="D40" s="2" t="s">
        <v>390</v>
      </c>
      <c r="E40" s="1">
        <v>44629</v>
      </c>
      <c r="F40" s="2">
        <v>176210.84</v>
      </c>
    </row>
    <row r="41" spans="1:6" x14ac:dyDescent="0.25">
      <c r="A41" t="s">
        <v>17</v>
      </c>
      <c r="B41">
        <v>2</v>
      </c>
      <c r="C41" s="2">
        <v>176210.85</v>
      </c>
      <c r="D41" s="2" t="s">
        <v>390</v>
      </c>
      <c r="E41" s="1">
        <v>45742</v>
      </c>
      <c r="F41" s="2">
        <v>176210.85</v>
      </c>
    </row>
    <row r="42" spans="1:6" x14ac:dyDescent="0.25">
      <c r="A42" t="s">
        <v>18</v>
      </c>
      <c r="B42">
        <v>1</v>
      </c>
      <c r="C42" s="2">
        <v>800784.21</v>
      </c>
      <c r="D42" s="2" t="s">
        <v>390</v>
      </c>
      <c r="E42" s="1">
        <v>44740</v>
      </c>
      <c r="F42" s="2">
        <v>800784.21</v>
      </c>
    </row>
    <row r="43" spans="1:6" x14ac:dyDescent="0.25">
      <c r="A43" t="s">
        <v>18</v>
      </c>
      <c r="B43">
        <v>2</v>
      </c>
      <c r="C43" s="2">
        <v>980913.67</v>
      </c>
      <c r="D43" s="2" t="s">
        <v>390</v>
      </c>
      <c r="E43" s="1">
        <v>45188</v>
      </c>
      <c r="F43" s="2">
        <v>980913.67</v>
      </c>
    </row>
    <row r="44" spans="1:6" x14ac:dyDescent="0.25">
      <c r="A44" t="s">
        <v>18</v>
      </c>
      <c r="B44">
        <v>3</v>
      </c>
      <c r="C44" s="2">
        <v>482622.22</v>
      </c>
      <c r="D44" s="2" t="s">
        <v>390</v>
      </c>
      <c r="E44" s="1">
        <v>45735</v>
      </c>
      <c r="F44" s="2">
        <v>482622.22</v>
      </c>
    </row>
    <row r="45" spans="1:6" x14ac:dyDescent="0.25">
      <c r="A45" t="s">
        <v>18</v>
      </c>
      <c r="B45">
        <v>4</v>
      </c>
      <c r="C45" s="2">
        <v>173718.9</v>
      </c>
      <c r="D45" s="2" t="s">
        <v>391</v>
      </c>
      <c r="E45" s="1"/>
      <c r="F45" s="2"/>
    </row>
    <row r="46" spans="1:6" x14ac:dyDescent="0.25">
      <c r="A46" t="s">
        <v>19</v>
      </c>
      <c r="B46">
        <v>1</v>
      </c>
      <c r="C46" s="2">
        <v>1085378.42</v>
      </c>
      <c r="D46" s="2" t="s">
        <v>390</v>
      </c>
      <c r="E46" s="1">
        <v>45814</v>
      </c>
      <c r="F46" s="2">
        <v>1085378.42</v>
      </c>
    </row>
    <row r="47" spans="1:6" x14ac:dyDescent="0.25">
      <c r="A47" t="s">
        <v>19</v>
      </c>
      <c r="B47">
        <v>2</v>
      </c>
      <c r="C47" s="2">
        <v>1085378.4099999999</v>
      </c>
      <c r="D47" s="2" t="s">
        <v>391</v>
      </c>
      <c r="E47" s="1"/>
      <c r="F47" s="2"/>
    </row>
    <row r="48" spans="1:6" x14ac:dyDescent="0.25">
      <c r="A48" t="s">
        <v>21</v>
      </c>
      <c r="B48">
        <v>1</v>
      </c>
      <c r="C48" s="2">
        <v>1028319.5</v>
      </c>
      <c r="D48" s="2" t="s">
        <v>390</v>
      </c>
      <c r="E48" s="1">
        <v>44742</v>
      </c>
      <c r="F48" s="2">
        <v>1028319.5</v>
      </c>
    </row>
    <row r="49" spans="1:6" x14ac:dyDescent="0.25">
      <c r="A49" t="s">
        <v>21</v>
      </c>
      <c r="B49">
        <v>2</v>
      </c>
      <c r="C49" s="2">
        <v>1190741.46</v>
      </c>
      <c r="D49" s="2" t="s">
        <v>390</v>
      </c>
      <c r="E49" s="1">
        <v>44991</v>
      </c>
      <c r="F49" s="2">
        <v>1190741.46</v>
      </c>
    </row>
    <row r="50" spans="1:6" x14ac:dyDescent="0.25">
      <c r="A50" t="s">
        <v>21</v>
      </c>
      <c r="B50">
        <v>3</v>
      </c>
      <c r="C50" s="2">
        <v>401342.54</v>
      </c>
      <c r="D50" s="2" t="s">
        <v>390</v>
      </c>
      <c r="E50" s="1">
        <v>45280</v>
      </c>
      <c r="F50" s="2">
        <v>401342.54</v>
      </c>
    </row>
    <row r="51" spans="1:6" x14ac:dyDescent="0.25">
      <c r="A51" t="s">
        <v>22</v>
      </c>
      <c r="B51">
        <v>1</v>
      </c>
      <c r="C51" s="2">
        <v>100000</v>
      </c>
      <c r="D51" s="2" t="s">
        <v>390</v>
      </c>
      <c r="E51" s="1">
        <v>45007</v>
      </c>
      <c r="F51" s="2">
        <v>100000</v>
      </c>
    </row>
    <row r="52" spans="1:6" x14ac:dyDescent="0.25">
      <c r="A52" t="s">
        <v>22</v>
      </c>
      <c r="B52">
        <v>2</v>
      </c>
      <c r="C52" s="2">
        <v>143205.56</v>
      </c>
      <c r="D52" s="2" t="s">
        <v>390</v>
      </c>
      <c r="E52" s="1">
        <v>45275</v>
      </c>
      <c r="F52" s="2">
        <v>143205.56</v>
      </c>
    </row>
    <row r="53" spans="1:6" x14ac:dyDescent="0.25">
      <c r="A53" t="s">
        <v>22</v>
      </c>
      <c r="B53">
        <v>3</v>
      </c>
      <c r="C53" s="2">
        <v>143205.56</v>
      </c>
      <c r="D53" s="2" t="s">
        <v>390</v>
      </c>
      <c r="E53" s="1">
        <v>45364</v>
      </c>
      <c r="F53" s="2">
        <v>143205.56</v>
      </c>
    </row>
    <row r="54" spans="1:6" x14ac:dyDescent="0.25">
      <c r="A54" t="s">
        <v>22</v>
      </c>
      <c r="B54">
        <v>4</v>
      </c>
      <c r="C54" s="2">
        <v>143205.56</v>
      </c>
      <c r="D54" s="2" t="s">
        <v>390</v>
      </c>
      <c r="E54" s="1">
        <v>45699</v>
      </c>
      <c r="F54" s="2">
        <v>143205.56</v>
      </c>
    </row>
    <row r="55" spans="1:6" x14ac:dyDescent="0.25">
      <c r="A55" t="s">
        <v>22</v>
      </c>
      <c r="B55">
        <v>5</v>
      </c>
      <c r="C55" s="2">
        <v>143205.56</v>
      </c>
      <c r="D55" s="2" t="s">
        <v>390</v>
      </c>
      <c r="E55" s="1">
        <v>45831</v>
      </c>
      <c r="F55" s="2">
        <v>143205.56</v>
      </c>
    </row>
    <row r="56" spans="1:6" x14ac:dyDescent="0.25">
      <c r="A56" t="s">
        <v>22</v>
      </c>
      <c r="B56">
        <v>6</v>
      </c>
      <c r="C56" s="2">
        <v>143205.56</v>
      </c>
      <c r="D56" s="2" t="s">
        <v>391</v>
      </c>
      <c r="E56" s="1"/>
      <c r="F56" s="2"/>
    </row>
    <row r="57" spans="1:6" x14ac:dyDescent="0.25">
      <c r="A57" t="s">
        <v>22</v>
      </c>
      <c r="B57">
        <v>7</v>
      </c>
      <c r="C57" s="2">
        <v>143205.56</v>
      </c>
      <c r="D57" s="2" t="s">
        <v>391</v>
      </c>
      <c r="E57" s="1"/>
      <c r="F57" s="2"/>
    </row>
    <row r="58" spans="1:6" x14ac:dyDescent="0.25">
      <c r="A58" t="s">
        <v>23</v>
      </c>
      <c r="B58">
        <v>1</v>
      </c>
      <c r="C58" s="2">
        <v>99418.559999999998</v>
      </c>
      <c r="D58" s="2" t="s">
        <v>390</v>
      </c>
      <c r="E58" s="1">
        <v>45477</v>
      </c>
      <c r="F58" s="2">
        <v>99418.559999999998</v>
      </c>
    </row>
    <row r="59" spans="1:6" x14ac:dyDescent="0.25">
      <c r="A59" t="s">
        <v>23</v>
      </c>
      <c r="B59">
        <v>2</v>
      </c>
      <c r="C59" s="2">
        <v>682391.31</v>
      </c>
      <c r="D59" s="2" t="s">
        <v>390</v>
      </c>
      <c r="E59" s="1">
        <v>45831</v>
      </c>
      <c r="F59" s="2">
        <v>682391.31</v>
      </c>
    </row>
    <row r="60" spans="1:6" x14ac:dyDescent="0.25">
      <c r="A60" t="s">
        <v>23</v>
      </c>
      <c r="B60">
        <v>3</v>
      </c>
      <c r="C60" s="2">
        <v>1630567.3</v>
      </c>
      <c r="D60" s="2" t="s">
        <v>390</v>
      </c>
      <c r="E60" s="1">
        <v>45874</v>
      </c>
      <c r="F60" s="2">
        <v>1630567.3</v>
      </c>
    </row>
    <row r="61" spans="1:6" x14ac:dyDescent="0.25">
      <c r="A61" t="s">
        <v>23</v>
      </c>
      <c r="B61">
        <v>4</v>
      </c>
      <c r="C61" s="2">
        <v>905299.55</v>
      </c>
      <c r="D61" s="2" t="s">
        <v>391</v>
      </c>
      <c r="E61" s="1"/>
      <c r="F61" s="2"/>
    </row>
    <row r="62" spans="1:6" x14ac:dyDescent="0.25">
      <c r="A62" t="s">
        <v>25</v>
      </c>
      <c r="B62">
        <v>1</v>
      </c>
      <c r="C62" s="2">
        <v>32791.870000000003</v>
      </c>
      <c r="D62" s="2" t="s">
        <v>390</v>
      </c>
      <c r="E62" s="1">
        <v>44743</v>
      </c>
      <c r="F62" s="2">
        <v>32791.870000000003</v>
      </c>
    </row>
    <row r="63" spans="1:6" x14ac:dyDescent="0.25">
      <c r="A63" t="s">
        <v>25</v>
      </c>
      <c r="B63">
        <v>2</v>
      </c>
      <c r="C63" s="2">
        <v>38649.32</v>
      </c>
      <c r="D63" s="2" t="s">
        <v>390</v>
      </c>
      <c r="E63" s="1">
        <v>45287</v>
      </c>
      <c r="F63" s="2">
        <v>38649.32</v>
      </c>
    </row>
    <row r="64" spans="1:6" x14ac:dyDescent="0.25">
      <c r="A64" t="s">
        <v>25</v>
      </c>
      <c r="B64">
        <v>3</v>
      </c>
      <c r="C64" s="2">
        <v>28558.81</v>
      </c>
      <c r="D64" s="2" t="s">
        <v>390</v>
      </c>
      <c r="E64" s="1">
        <v>45653</v>
      </c>
      <c r="F64" s="2">
        <v>28558.81</v>
      </c>
    </row>
    <row r="65" spans="1:6" x14ac:dyDescent="0.25">
      <c r="A65" t="s">
        <v>26</v>
      </c>
      <c r="B65">
        <v>1</v>
      </c>
      <c r="C65" s="2">
        <v>700000</v>
      </c>
      <c r="D65" s="2" t="s">
        <v>390</v>
      </c>
      <c r="E65" s="1">
        <v>45470</v>
      </c>
      <c r="F65" s="2">
        <v>700000</v>
      </c>
    </row>
    <row r="66" spans="1:6" x14ac:dyDescent="0.25">
      <c r="A66" t="s">
        <v>26</v>
      </c>
      <c r="B66">
        <v>2</v>
      </c>
      <c r="C66" s="2">
        <v>650000</v>
      </c>
      <c r="D66" s="2" t="s">
        <v>391</v>
      </c>
      <c r="E66" s="1"/>
      <c r="F66" s="2"/>
    </row>
    <row r="67" spans="1:6" x14ac:dyDescent="0.25">
      <c r="A67" t="s">
        <v>26</v>
      </c>
      <c r="B67">
        <v>3</v>
      </c>
      <c r="C67" s="2">
        <v>650000</v>
      </c>
      <c r="D67" s="2" t="s">
        <v>391</v>
      </c>
      <c r="E67" s="1"/>
      <c r="F67" s="2"/>
    </row>
    <row r="68" spans="1:6" x14ac:dyDescent="0.25">
      <c r="A68" t="s">
        <v>28</v>
      </c>
      <c r="B68">
        <v>1</v>
      </c>
      <c r="C68" s="2">
        <v>240000</v>
      </c>
      <c r="D68" s="2" t="s">
        <v>390</v>
      </c>
      <c r="E68" s="1">
        <v>42548</v>
      </c>
      <c r="F68" s="2">
        <v>240000</v>
      </c>
    </row>
    <row r="69" spans="1:6" x14ac:dyDescent="0.25">
      <c r="A69" t="s">
        <v>28</v>
      </c>
      <c r="B69">
        <v>2</v>
      </c>
      <c r="C69" s="2">
        <v>280000</v>
      </c>
      <c r="D69" s="2" t="s">
        <v>391</v>
      </c>
      <c r="E69" s="1"/>
      <c r="F69" s="2"/>
    </row>
    <row r="70" spans="1:6" x14ac:dyDescent="0.25">
      <c r="A70" t="s">
        <v>28</v>
      </c>
      <c r="B70">
        <v>3</v>
      </c>
      <c r="C70" s="2">
        <v>280000</v>
      </c>
      <c r="D70" s="2" t="s">
        <v>391</v>
      </c>
      <c r="E70" s="1"/>
      <c r="F70" s="2"/>
    </row>
    <row r="71" spans="1:6" x14ac:dyDescent="0.25">
      <c r="A71" t="s">
        <v>29</v>
      </c>
      <c r="B71">
        <v>1</v>
      </c>
      <c r="C71" s="2">
        <v>150000</v>
      </c>
      <c r="D71" s="2" t="s">
        <v>390</v>
      </c>
      <c r="E71" s="1">
        <v>44057</v>
      </c>
      <c r="F71" s="2">
        <v>150000</v>
      </c>
    </row>
    <row r="72" spans="1:6" x14ac:dyDescent="0.25">
      <c r="A72" t="s">
        <v>29</v>
      </c>
      <c r="B72">
        <v>2</v>
      </c>
      <c r="C72" s="2">
        <v>175000</v>
      </c>
      <c r="D72" s="2" t="s">
        <v>390</v>
      </c>
      <c r="E72" s="1">
        <v>44434</v>
      </c>
      <c r="F72" s="2">
        <v>175000</v>
      </c>
    </row>
    <row r="73" spans="1:6" x14ac:dyDescent="0.25">
      <c r="A73" t="s">
        <v>29</v>
      </c>
      <c r="B73">
        <v>3</v>
      </c>
      <c r="C73" s="2">
        <v>175000</v>
      </c>
      <c r="D73" s="2" t="s">
        <v>390</v>
      </c>
      <c r="E73" s="1">
        <v>44804</v>
      </c>
      <c r="F73" s="2">
        <v>175000</v>
      </c>
    </row>
    <row r="74" spans="1:6" x14ac:dyDescent="0.25">
      <c r="A74" t="s">
        <v>30</v>
      </c>
      <c r="B74">
        <v>1</v>
      </c>
      <c r="C74" s="2">
        <v>318000</v>
      </c>
      <c r="D74" s="2" t="s">
        <v>390</v>
      </c>
      <c r="E74" s="1">
        <v>44329</v>
      </c>
      <c r="F74" s="2">
        <v>318000</v>
      </c>
    </row>
    <row r="75" spans="1:6" x14ac:dyDescent="0.25">
      <c r="A75" t="s">
        <v>30</v>
      </c>
      <c r="B75">
        <v>2</v>
      </c>
      <c r="C75" s="2">
        <v>371000</v>
      </c>
      <c r="D75" s="2" t="s">
        <v>390</v>
      </c>
      <c r="E75" s="1">
        <v>45351</v>
      </c>
      <c r="F75" s="2">
        <v>371000</v>
      </c>
    </row>
    <row r="76" spans="1:6" x14ac:dyDescent="0.25">
      <c r="A76" t="s">
        <v>30</v>
      </c>
      <c r="B76">
        <v>3</v>
      </c>
      <c r="C76" s="2">
        <v>371000</v>
      </c>
      <c r="D76" s="2" t="s">
        <v>391</v>
      </c>
      <c r="E76" s="1"/>
      <c r="F76" s="2"/>
    </row>
    <row r="77" spans="1:6" x14ac:dyDescent="0.25">
      <c r="A77" t="s">
        <v>31</v>
      </c>
      <c r="B77">
        <v>1</v>
      </c>
      <c r="C77" s="2">
        <v>2416666.67</v>
      </c>
      <c r="D77" s="2" t="s">
        <v>390</v>
      </c>
      <c r="E77" s="1">
        <v>44410</v>
      </c>
      <c r="F77" s="2">
        <v>2416666.67</v>
      </c>
    </row>
    <row r="78" spans="1:6" x14ac:dyDescent="0.25">
      <c r="A78" t="s">
        <v>31</v>
      </c>
      <c r="B78">
        <v>2</v>
      </c>
      <c r="C78" s="2">
        <v>2416666.67</v>
      </c>
      <c r="D78" s="2" t="s">
        <v>390</v>
      </c>
      <c r="E78" s="1">
        <v>44410</v>
      </c>
      <c r="F78" s="2">
        <v>2416666.67</v>
      </c>
    </row>
    <row r="79" spans="1:6" x14ac:dyDescent="0.25">
      <c r="A79" t="s">
        <v>31</v>
      </c>
      <c r="B79">
        <v>3</v>
      </c>
      <c r="C79" s="2">
        <v>2416666.67</v>
      </c>
      <c r="D79" s="2" t="s">
        <v>390</v>
      </c>
      <c r="E79" s="1">
        <v>44484</v>
      </c>
      <c r="F79" s="2">
        <v>2416666.67</v>
      </c>
    </row>
    <row r="80" spans="1:6" x14ac:dyDescent="0.25">
      <c r="A80" t="s">
        <v>31</v>
      </c>
      <c r="B80">
        <v>4</v>
      </c>
      <c r="C80" s="2">
        <v>2416666.67</v>
      </c>
      <c r="D80" s="2" t="s">
        <v>390</v>
      </c>
      <c r="E80" s="1">
        <v>44601</v>
      </c>
      <c r="F80" s="2">
        <v>2416666.67</v>
      </c>
    </row>
    <row r="81" spans="1:6" x14ac:dyDescent="0.25">
      <c r="A81" t="s">
        <v>31</v>
      </c>
      <c r="B81">
        <v>5</v>
      </c>
      <c r="C81" s="2">
        <v>2416666.67</v>
      </c>
      <c r="D81" s="2" t="s">
        <v>390</v>
      </c>
      <c r="E81" s="1">
        <v>44693</v>
      </c>
      <c r="F81" s="2">
        <v>2416666.67</v>
      </c>
    </row>
    <row r="82" spans="1:6" x14ac:dyDescent="0.25">
      <c r="A82" t="s">
        <v>31</v>
      </c>
      <c r="B82">
        <v>6</v>
      </c>
      <c r="C82" s="2">
        <v>2416666.67</v>
      </c>
      <c r="D82" s="2" t="s">
        <v>390</v>
      </c>
      <c r="E82" s="1">
        <v>44756</v>
      </c>
      <c r="F82" s="2">
        <v>2416666.67</v>
      </c>
    </row>
    <row r="83" spans="1:6" x14ac:dyDescent="0.25">
      <c r="A83" t="s">
        <v>31</v>
      </c>
      <c r="B83">
        <v>7</v>
      </c>
      <c r="C83" s="2">
        <v>2416666.67</v>
      </c>
      <c r="D83" s="2" t="s">
        <v>390</v>
      </c>
      <c r="E83" s="1">
        <v>44809</v>
      </c>
      <c r="F83" s="2">
        <v>2416666.67</v>
      </c>
    </row>
    <row r="84" spans="1:6" x14ac:dyDescent="0.25">
      <c r="A84" t="s">
        <v>31</v>
      </c>
      <c r="B84">
        <v>8</v>
      </c>
      <c r="C84" s="2">
        <v>2416666.67</v>
      </c>
      <c r="D84" s="2" t="s">
        <v>390</v>
      </c>
      <c r="E84" s="1">
        <v>45007</v>
      </c>
      <c r="F84" s="2">
        <v>2416666.67</v>
      </c>
    </row>
    <row r="85" spans="1:6" x14ac:dyDescent="0.25">
      <c r="A85" t="s">
        <v>31</v>
      </c>
      <c r="B85">
        <v>9</v>
      </c>
      <c r="C85" s="2">
        <v>2416666.66</v>
      </c>
      <c r="D85" s="2" t="s">
        <v>390</v>
      </c>
      <c r="E85" s="1">
        <v>45170</v>
      </c>
      <c r="F85" s="2">
        <v>2416666.66</v>
      </c>
    </row>
    <row r="86" spans="1:6" x14ac:dyDescent="0.25">
      <c r="A86" t="s">
        <v>31</v>
      </c>
      <c r="B86">
        <v>10</v>
      </c>
      <c r="C86" s="2">
        <v>2416666.66</v>
      </c>
      <c r="D86" s="2" t="s">
        <v>390</v>
      </c>
      <c r="E86" s="1">
        <v>45330</v>
      </c>
      <c r="F86" s="2">
        <v>2416666.66</v>
      </c>
    </row>
    <row r="87" spans="1:6" x14ac:dyDescent="0.25">
      <c r="A87" t="s">
        <v>31</v>
      </c>
      <c r="B87">
        <v>11</v>
      </c>
      <c r="C87" s="2">
        <v>2416666.66</v>
      </c>
      <c r="D87" s="2" t="s">
        <v>390</v>
      </c>
      <c r="E87" s="1">
        <v>45330</v>
      </c>
      <c r="F87" s="2">
        <v>2416666.66</v>
      </c>
    </row>
    <row r="88" spans="1:6" x14ac:dyDescent="0.25">
      <c r="A88" t="s">
        <v>31</v>
      </c>
      <c r="B88">
        <v>12</v>
      </c>
      <c r="C88" s="2">
        <v>2416666.66</v>
      </c>
      <c r="D88" s="2" t="s">
        <v>391</v>
      </c>
      <c r="E88" s="1"/>
      <c r="F88" s="2"/>
    </row>
    <row r="89" spans="1:6" x14ac:dyDescent="0.25">
      <c r="A89" t="s">
        <v>31</v>
      </c>
      <c r="B89">
        <v>13</v>
      </c>
      <c r="C89" s="2">
        <v>2416666.66</v>
      </c>
      <c r="D89" s="2" t="s">
        <v>391</v>
      </c>
      <c r="E89" s="1"/>
      <c r="F89" s="2"/>
    </row>
    <row r="90" spans="1:6" x14ac:dyDescent="0.25">
      <c r="A90" t="s">
        <v>32</v>
      </c>
      <c r="B90">
        <v>1</v>
      </c>
      <c r="C90" s="2">
        <v>500000</v>
      </c>
      <c r="D90" s="2" t="s">
        <v>390</v>
      </c>
      <c r="E90" s="1">
        <v>44743</v>
      </c>
      <c r="F90" s="2">
        <v>500000</v>
      </c>
    </row>
    <row r="91" spans="1:6" x14ac:dyDescent="0.25">
      <c r="A91" t="s">
        <v>32</v>
      </c>
      <c r="B91">
        <v>2</v>
      </c>
      <c r="C91" s="2">
        <v>425000</v>
      </c>
      <c r="D91" s="2" t="s">
        <v>391</v>
      </c>
      <c r="E91" s="1"/>
      <c r="F91" s="2"/>
    </row>
    <row r="92" spans="1:6" x14ac:dyDescent="0.25">
      <c r="A92" t="s">
        <v>32</v>
      </c>
      <c r="B92">
        <v>3</v>
      </c>
      <c r="C92" s="2">
        <v>425000</v>
      </c>
      <c r="D92" s="2" t="s">
        <v>391</v>
      </c>
      <c r="E92" s="1"/>
      <c r="F92" s="2"/>
    </row>
    <row r="93" spans="1:6" x14ac:dyDescent="0.25">
      <c r="A93" t="s">
        <v>33</v>
      </c>
      <c r="B93">
        <v>1</v>
      </c>
      <c r="C93" s="2">
        <v>150000</v>
      </c>
      <c r="D93" s="2" t="s">
        <v>390</v>
      </c>
      <c r="E93" s="1">
        <v>45009</v>
      </c>
      <c r="F93" s="2">
        <v>150000</v>
      </c>
    </row>
    <row r="94" spans="1:6" x14ac:dyDescent="0.25">
      <c r="A94" t="s">
        <v>33</v>
      </c>
      <c r="B94">
        <v>2</v>
      </c>
      <c r="C94" s="2">
        <v>175000</v>
      </c>
      <c r="D94" s="2" t="s">
        <v>391</v>
      </c>
      <c r="E94" s="1"/>
      <c r="F94" s="2"/>
    </row>
    <row r="95" spans="1:6" x14ac:dyDescent="0.25">
      <c r="A95" t="s">
        <v>33</v>
      </c>
      <c r="B95">
        <v>3</v>
      </c>
      <c r="C95" s="2">
        <v>175000</v>
      </c>
      <c r="D95" s="2" t="s">
        <v>391</v>
      </c>
      <c r="E95" s="1"/>
      <c r="F95" s="2"/>
    </row>
    <row r="96" spans="1:6" x14ac:dyDescent="0.25">
      <c r="A96" t="s">
        <v>35</v>
      </c>
      <c r="B96">
        <v>1</v>
      </c>
      <c r="C96" s="2">
        <v>133333</v>
      </c>
      <c r="D96" s="2" t="s">
        <v>390</v>
      </c>
      <c r="E96" s="1">
        <v>44629</v>
      </c>
      <c r="F96" s="2">
        <v>133333</v>
      </c>
    </row>
    <row r="97" spans="1:6" x14ac:dyDescent="0.25">
      <c r="A97" t="s">
        <v>35</v>
      </c>
      <c r="B97">
        <v>2</v>
      </c>
      <c r="C97" s="2">
        <v>133333</v>
      </c>
      <c r="D97" s="2" t="s">
        <v>390</v>
      </c>
      <c r="E97" s="1">
        <v>44981</v>
      </c>
      <c r="F97" s="2">
        <v>133333</v>
      </c>
    </row>
    <row r="98" spans="1:6" x14ac:dyDescent="0.25">
      <c r="A98" t="s">
        <v>35</v>
      </c>
      <c r="B98">
        <v>3</v>
      </c>
      <c r="C98" s="2">
        <v>133334</v>
      </c>
      <c r="D98" s="2" t="s">
        <v>390</v>
      </c>
      <c r="E98" s="1">
        <v>45271</v>
      </c>
      <c r="F98" s="2">
        <v>133334</v>
      </c>
    </row>
    <row r="99" spans="1:6" x14ac:dyDescent="0.25">
      <c r="A99" t="s">
        <v>36</v>
      </c>
      <c r="B99">
        <v>1</v>
      </c>
      <c r="C99" s="2">
        <v>53000</v>
      </c>
      <c r="D99" s="2" t="s">
        <v>390</v>
      </c>
      <c r="E99" s="1">
        <v>44742</v>
      </c>
      <c r="F99" s="2">
        <v>53000</v>
      </c>
    </row>
    <row r="100" spans="1:6" x14ac:dyDescent="0.25">
      <c r="A100" t="s">
        <v>36</v>
      </c>
      <c r="B100">
        <v>2</v>
      </c>
      <c r="C100" s="2">
        <v>53000</v>
      </c>
      <c r="D100" s="2" t="s">
        <v>390</v>
      </c>
      <c r="E100" s="1">
        <v>44981</v>
      </c>
      <c r="F100" s="2">
        <v>53000</v>
      </c>
    </row>
    <row r="101" spans="1:6" x14ac:dyDescent="0.25">
      <c r="A101" t="s">
        <v>37</v>
      </c>
      <c r="B101">
        <v>1</v>
      </c>
      <c r="C101" s="2">
        <v>109137.39</v>
      </c>
      <c r="D101" s="2" t="s">
        <v>390</v>
      </c>
      <c r="E101" s="1">
        <v>44741</v>
      </c>
      <c r="F101" s="2">
        <v>109137.39</v>
      </c>
    </row>
    <row r="102" spans="1:6" x14ac:dyDescent="0.25">
      <c r="A102" t="s">
        <v>37</v>
      </c>
      <c r="B102">
        <v>2</v>
      </c>
      <c r="C102" s="2">
        <v>109137.39</v>
      </c>
      <c r="D102" s="2" t="s">
        <v>390</v>
      </c>
      <c r="E102" s="1">
        <v>45267</v>
      </c>
      <c r="F102" s="2">
        <v>109137.39</v>
      </c>
    </row>
    <row r="103" spans="1:6" x14ac:dyDescent="0.25">
      <c r="A103" t="s">
        <v>37</v>
      </c>
      <c r="B103">
        <v>3</v>
      </c>
      <c r="C103" s="2">
        <v>109137.38</v>
      </c>
      <c r="D103" s="2" t="s">
        <v>390</v>
      </c>
      <c r="E103" s="1">
        <v>45408</v>
      </c>
      <c r="F103" s="2">
        <v>109137.38</v>
      </c>
    </row>
    <row r="104" spans="1:6" x14ac:dyDescent="0.25">
      <c r="A104" t="s">
        <v>38</v>
      </c>
      <c r="B104">
        <v>1</v>
      </c>
      <c r="C104" s="2">
        <v>250000</v>
      </c>
      <c r="D104" s="2" t="s">
        <v>390</v>
      </c>
      <c r="E104" s="1">
        <v>45015</v>
      </c>
      <c r="F104" s="2">
        <v>250000</v>
      </c>
    </row>
    <row r="105" spans="1:6" x14ac:dyDescent="0.25">
      <c r="A105" t="s">
        <v>38</v>
      </c>
      <c r="B105">
        <v>2</v>
      </c>
      <c r="C105" s="2">
        <v>480000</v>
      </c>
      <c r="D105" s="2" t="s">
        <v>390</v>
      </c>
      <c r="E105" s="1">
        <v>45405</v>
      </c>
      <c r="F105" s="2">
        <v>480000</v>
      </c>
    </row>
    <row r="106" spans="1:6" x14ac:dyDescent="0.25">
      <c r="A106" t="s">
        <v>38</v>
      </c>
      <c r="B106">
        <v>3</v>
      </c>
      <c r="C106" s="2">
        <v>480000</v>
      </c>
      <c r="D106" s="2" t="s">
        <v>390</v>
      </c>
      <c r="E106" s="1">
        <v>45911</v>
      </c>
      <c r="F106" s="2">
        <v>480000</v>
      </c>
    </row>
    <row r="107" spans="1:6" x14ac:dyDescent="0.25">
      <c r="A107" t="s">
        <v>38</v>
      </c>
      <c r="B107">
        <v>4</v>
      </c>
      <c r="C107" s="2">
        <v>490000</v>
      </c>
      <c r="D107" s="2" t="s">
        <v>391</v>
      </c>
      <c r="E107" s="1"/>
      <c r="F107" s="2"/>
    </row>
    <row r="108" spans="1:6" x14ac:dyDescent="0.25">
      <c r="A108" t="s">
        <v>39</v>
      </c>
      <c r="B108">
        <v>1</v>
      </c>
      <c r="C108" s="2">
        <v>268928.05</v>
      </c>
      <c r="D108" s="2" t="s">
        <v>390</v>
      </c>
      <c r="E108" s="1">
        <v>44986</v>
      </c>
      <c r="F108" s="2">
        <v>268928.05</v>
      </c>
    </row>
    <row r="109" spans="1:6" x14ac:dyDescent="0.25">
      <c r="A109" t="s">
        <v>39</v>
      </c>
      <c r="B109">
        <v>2</v>
      </c>
      <c r="C109" s="2">
        <v>2381738.9</v>
      </c>
      <c r="D109" s="2" t="s">
        <v>390</v>
      </c>
      <c r="E109" s="1">
        <v>45142</v>
      </c>
      <c r="F109" s="2">
        <v>2381738.9</v>
      </c>
    </row>
    <row r="110" spans="1:6" x14ac:dyDescent="0.25">
      <c r="A110" t="s">
        <v>39</v>
      </c>
      <c r="B110">
        <v>3</v>
      </c>
      <c r="C110" s="2">
        <v>2381738.9</v>
      </c>
      <c r="D110" s="2" t="s">
        <v>390</v>
      </c>
      <c r="E110" s="1">
        <v>45385</v>
      </c>
      <c r="F110" s="2">
        <v>2381738.9</v>
      </c>
    </row>
    <row r="111" spans="1:6" x14ac:dyDescent="0.25">
      <c r="A111" t="s">
        <v>39</v>
      </c>
      <c r="B111">
        <v>4</v>
      </c>
      <c r="C111" s="2">
        <v>2381738.9</v>
      </c>
      <c r="D111" s="2" t="s">
        <v>390</v>
      </c>
      <c r="E111" s="1">
        <v>45730</v>
      </c>
      <c r="F111" s="2">
        <v>2381738.9</v>
      </c>
    </row>
    <row r="112" spans="1:6" x14ac:dyDescent="0.25">
      <c r="A112" t="s">
        <v>40</v>
      </c>
      <c r="B112">
        <v>1</v>
      </c>
      <c r="C112" s="2">
        <v>660000</v>
      </c>
      <c r="D112" s="2" t="s">
        <v>390</v>
      </c>
      <c r="E112" s="1">
        <v>45435</v>
      </c>
      <c r="F112" s="2">
        <v>660000</v>
      </c>
    </row>
    <row r="113" spans="1:6" x14ac:dyDescent="0.25">
      <c r="A113" t="s">
        <v>40</v>
      </c>
      <c r="B113">
        <v>2</v>
      </c>
      <c r="C113" s="2">
        <v>660000</v>
      </c>
      <c r="D113" s="2" t="s">
        <v>390</v>
      </c>
      <c r="E113" s="1">
        <v>45656</v>
      </c>
      <c r="F113" s="2">
        <v>660000</v>
      </c>
    </row>
    <row r="114" spans="1:6" x14ac:dyDescent="0.25">
      <c r="A114" t="s">
        <v>40</v>
      </c>
      <c r="B114">
        <v>3</v>
      </c>
      <c r="C114" s="2">
        <v>680000</v>
      </c>
      <c r="D114" s="2" t="s">
        <v>390</v>
      </c>
      <c r="E114" s="1">
        <v>45882</v>
      </c>
      <c r="F114" s="2">
        <v>680000</v>
      </c>
    </row>
    <row r="115" spans="1:6" x14ac:dyDescent="0.25">
      <c r="A115" t="s">
        <v>42</v>
      </c>
      <c r="B115">
        <v>1</v>
      </c>
      <c r="C115" s="2">
        <v>1585369.82</v>
      </c>
      <c r="D115" s="2" t="s">
        <v>390</v>
      </c>
      <c r="E115" s="1">
        <v>44691</v>
      </c>
      <c r="F115" s="2">
        <v>1585369.82</v>
      </c>
    </row>
    <row r="116" spans="1:6" x14ac:dyDescent="0.25">
      <c r="A116" t="s">
        <v>42</v>
      </c>
      <c r="B116">
        <v>2</v>
      </c>
      <c r="C116" s="2">
        <v>1585369.81</v>
      </c>
      <c r="D116" s="2" t="s">
        <v>390</v>
      </c>
      <c r="E116" s="1">
        <v>44703</v>
      </c>
      <c r="F116" s="2">
        <v>1585369.81</v>
      </c>
    </row>
    <row r="117" spans="1:6" x14ac:dyDescent="0.25">
      <c r="A117" t="s">
        <v>42</v>
      </c>
      <c r="B117">
        <v>3</v>
      </c>
      <c r="C117" s="2">
        <v>1585369.81</v>
      </c>
      <c r="D117" s="2" t="s">
        <v>390</v>
      </c>
      <c r="E117" s="1">
        <v>45198</v>
      </c>
      <c r="F117" s="2">
        <v>1585369.81</v>
      </c>
    </row>
    <row r="118" spans="1:6" x14ac:dyDescent="0.25">
      <c r="A118" t="s">
        <v>43</v>
      </c>
      <c r="B118">
        <v>1</v>
      </c>
      <c r="C118" s="2">
        <v>1289376.1499999999</v>
      </c>
      <c r="D118" s="2" t="s">
        <v>390</v>
      </c>
      <c r="E118" s="1">
        <v>44691</v>
      </c>
      <c r="F118" s="2">
        <v>1289376.1499999999</v>
      </c>
    </row>
    <row r="119" spans="1:6" x14ac:dyDescent="0.25">
      <c r="A119" t="s">
        <v>43</v>
      </c>
      <c r="B119">
        <v>2</v>
      </c>
      <c r="C119" s="2">
        <v>858311.5</v>
      </c>
      <c r="D119" s="2" t="s">
        <v>390</v>
      </c>
      <c r="E119" s="1">
        <v>45407</v>
      </c>
      <c r="F119" s="2">
        <v>858311.5</v>
      </c>
    </row>
    <row r="120" spans="1:6" x14ac:dyDescent="0.25">
      <c r="A120" t="s">
        <v>43</v>
      </c>
      <c r="B120">
        <v>3</v>
      </c>
      <c r="C120" s="2">
        <v>964510.39</v>
      </c>
      <c r="D120" s="2" t="s">
        <v>390</v>
      </c>
      <c r="E120" s="1">
        <v>45960</v>
      </c>
      <c r="F120" s="2">
        <v>964510.39</v>
      </c>
    </row>
    <row r="121" spans="1:6" x14ac:dyDescent="0.25">
      <c r="A121" t="s">
        <v>43</v>
      </c>
      <c r="B121">
        <v>4</v>
      </c>
      <c r="C121" s="2">
        <v>825312.06</v>
      </c>
      <c r="D121" s="2" t="s">
        <v>391</v>
      </c>
      <c r="E121" s="1"/>
      <c r="F121" s="2"/>
    </row>
    <row r="122" spans="1:6" x14ac:dyDescent="0.25">
      <c r="A122" t="s">
        <v>44</v>
      </c>
      <c r="B122">
        <v>1</v>
      </c>
      <c r="C122" s="2">
        <v>60222.1</v>
      </c>
      <c r="D122" s="2" t="s">
        <v>390</v>
      </c>
      <c r="E122" s="1">
        <v>45135</v>
      </c>
      <c r="F122" s="2">
        <v>60222.1</v>
      </c>
    </row>
    <row r="123" spans="1:6" x14ac:dyDescent="0.25">
      <c r="A123" t="s">
        <v>44</v>
      </c>
      <c r="B123">
        <v>2</v>
      </c>
      <c r="C123" s="2">
        <v>60222.1</v>
      </c>
      <c r="D123" s="2" t="s">
        <v>390</v>
      </c>
      <c r="E123" s="1">
        <v>45399</v>
      </c>
      <c r="F123" s="2">
        <v>60222.1</v>
      </c>
    </row>
    <row r="124" spans="1:6" x14ac:dyDescent="0.25">
      <c r="A124" t="s">
        <v>45</v>
      </c>
      <c r="B124">
        <v>1</v>
      </c>
      <c r="C124" s="2">
        <v>60222.1</v>
      </c>
      <c r="D124" s="2" t="s">
        <v>390</v>
      </c>
      <c r="E124" s="1">
        <v>44662</v>
      </c>
      <c r="F124" s="2">
        <v>60222.1</v>
      </c>
    </row>
    <row r="125" spans="1:6" x14ac:dyDescent="0.25">
      <c r="A125" t="s">
        <v>45</v>
      </c>
      <c r="B125">
        <v>2</v>
      </c>
      <c r="C125" s="2">
        <v>60222.1</v>
      </c>
      <c r="D125" s="2" t="s">
        <v>390</v>
      </c>
      <c r="E125" s="1">
        <v>45376</v>
      </c>
      <c r="F125" s="2">
        <v>60222.1</v>
      </c>
    </row>
    <row r="126" spans="1:6" x14ac:dyDescent="0.25">
      <c r="A126" t="s">
        <v>46</v>
      </c>
      <c r="B126">
        <v>1</v>
      </c>
      <c r="C126" s="2">
        <v>100000</v>
      </c>
      <c r="D126" s="2" t="s">
        <v>390</v>
      </c>
      <c r="E126" s="1">
        <v>44740</v>
      </c>
      <c r="F126" s="2">
        <v>100000</v>
      </c>
    </row>
    <row r="127" spans="1:6" x14ac:dyDescent="0.25">
      <c r="A127" t="s">
        <v>46</v>
      </c>
      <c r="B127">
        <v>2</v>
      </c>
      <c r="C127" s="2">
        <v>100000</v>
      </c>
      <c r="D127" s="2" t="s">
        <v>390</v>
      </c>
      <c r="E127" s="1">
        <v>44740</v>
      </c>
      <c r="F127" s="2">
        <v>100000</v>
      </c>
    </row>
    <row r="128" spans="1:6" x14ac:dyDescent="0.25">
      <c r="A128" t="s">
        <v>46</v>
      </c>
      <c r="B128">
        <v>3</v>
      </c>
      <c r="C128" s="2">
        <v>100000</v>
      </c>
      <c r="D128" s="2" t="s">
        <v>391</v>
      </c>
      <c r="E128" s="1"/>
      <c r="F128" s="2"/>
    </row>
    <row r="129" spans="1:6" x14ac:dyDescent="0.25">
      <c r="A129" t="s">
        <v>47</v>
      </c>
      <c r="B129">
        <v>1</v>
      </c>
      <c r="C129" s="2">
        <v>90000</v>
      </c>
      <c r="D129" s="2" t="s">
        <v>390</v>
      </c>
      <c r="E129" s="1">
        <v>45021</v>
      </c>
      <c r="F129" s="2">
        <v>90000</v>
      </c>
    </row>
    <row r="130" spans="1:6" x14ac:dyDescent="0.25">
      <c r="A130" t="s">
        <v>47</v>
      </c>
      <c r="B130">
        <v>2</v>
      </c>
      <c r="C130" s="2">
        <v>48636.639999999999</v>
      </c>
      <c r="D130" s="2" t="s">
        <v>390</v>
      </c>
      <c r="E130" s="1">
        <v>45754</v>
      </c>
      <c r="F130" s="2">
        <v>48636.639999999999</v>
      </c>
    </row>
    <row r="131" spans="1:6" x14ac:dyDescent="0.25">
      <c r="A131" t="s">
        <v>48</v>
      </c>
      <c r="B131">
        <v>1</v>
      </c>
      <c r="C131" s="2">
        <v>200000</v>
      </c>
      <c r="D131" s="2" t="s">
        <v>390</v>
      </c>
      <c r="E131" s="1">
        <v>44743</v>
      </c>
      <c r="F131" s="2">
        <v>200000</v>
      </c>
    </row>
    <row r="132" spans="1:6" x14ac:dyDescent="0.25">
      <c r="A132" t="s">
        <v>48</v>
      </c>
      <c r="B132">
        <v>2</v>
      </c>
      <c r="C132" s="2">
        <v>200000</v>
      </c>
      <c r="D132" s="2" t="s">
        <v>390</v>
      </c>
      <c r="E132" s="1">
        <v>45197</v>
      </c>
      <c r="F132" s="2">
        <v>200000</v>
      </c>
    </row>
    <row r="133" spans="1:6" x14ac:dyDescent="0.25">
      <c r="A133" t="s">
        <v>50</v>
      </c>
      <c r="B133">
        <v>1</v>
      </c>
      <c r="C133" s="2">
        <v>281992.55</v>
      </c>
      <c r="D133" s="2" t="s">
        <v>390</v>
      </c>
      <c r="E133" s="1">
        <v>44741</v>
      </c>
      <c r="F133" s="2">
        <v>281992.55</v>
      </c>
    </row>
    <row r="134" spans="1:6" x14ac:dyDescent="0.25">
      <c r="A134" t="s">
        <v>50</v>
      </c>
      <c r="B134">
        <v>2</v>
      </c>
      <c r="C134" s="2">
        <v>281992.55</v>
      </c>
      <c r="D134" s="2" t="s">
        <v>390</v>
      </c>
      <c r="E134" s="1">
        <v>45007</v>
      </c>
      <c r="F134" s="2">
        <v>281992.55</v>
      </c>
    </row>
    <row r="135" spans="1:6" x14ac:dyDescent="0.25">
      <c r="A135" t="s">
        <v>50</v>
      </c>
      <c r="B135">
        <v>3</v>
      </c>
      <c r="C135" s="2">
        <v>281992.55</v>
      </c>
      <c r="D135" s="2" t="s">
        <v>390</v>
      </c>
      <c r="E135" s="1">
        <v>45007</v>
      </c>
      <c r="F135" s="2">
        <v>281992.55</v>
      </c>
    </row>
    <row r="136" spans="1:6" x14ac:dyDescent="0.25">
      <c r="A136" t="s">
        <v>50</v>
      </c>
      <c r="B136">
        <v>4</v>
      </c>
      <c r="C136" s="2">
        <v>281992.55</v>
      </c>
      <c r="D136" s="2" t="s">
        <v>390</v>
      </c>
      <c r="E136" s="1">
        <v>45404</v>
      </c>
      <c r="F136" s="2">
        <v>281992.55</v>
      </c>
    </row>
    <row r="137" spans="1:6" x14ac:dyDescent="0.25">
      <c r="A137" t="s">
        <v>50</v>
      </c>
      <c r="B137">
        <v>5</v>
      </c>
      <c r="C137" s="2">
        <v>281992.55</v>
      </c>
      <c r="D137" s="2" t="s">
        <v>391</v>
      </c>
      <c r="E137" s="1"/>
      <c r="F137" s="2"/>
    </row>
    <row r="138" spans="1:6" x14ac:dyDescent="0.25">
      <c r="A138" t="s">
        <v>50</v>
      </c>
      <c r="B138">
        <v>6</v>
      </c>
      <c r="C138" s="2">
        <v>281992.55</v>
      </c>
      <c r="D138" s="2" t="s">
        <v>391</v>
      </c>
      <c r="E138" s="1"/>
      <c r="F138" s="2"/>
    </row>
    <row r="139" spans="1:6" x14ac:dyDescent="0.25">
      <c r="A139" t="s">
        <v>50</v>
      </c>
      <c r="B139">
        <v>7</v>
      </c>
      <c r="C139" s="2">
        <v>281992.55</v>
      </c>
      <c r="D139" s="2" t="s">
        <v>391</v>
      </c>
      <c r="E139" s="1"/>
      <c r="F139" s="2"/>
    </row>
    <row r="140" spans="1:6" x14ac:dyDescent="0.25">
      <c r="A140" t="s">
        <v>51</v>
      </c>
      <c r="B140">
        <v>1</v>
      </c>
      <c r="C140" s="2">
        <v>54305.23</v>
      </c>
      <c r="D140" s="2" t="s">
        <v>390</v>
      </c>
      <c r="E140" s="1">
        <v>44741</v>
      </c>
      <c r="F140" s="2">
        <v>54305.23</v>
      </c>
    </row>
    <row r="141" spans="1:6" x14ac:dyDescent="0.25">
      <c r="A141" t="s">
        <v>51</v>
      </c>
      <c r="B141">
        <v>2</v>
      </c>
      <c r="C141" s="2">
        <v>170570.22</v>
      </c>
      <c r="D141" s="2" t="s">
        <v>390</v>
      </c>
      <c r="E141" s="1">
        <v>45056</v>
      </c>
      <c r="F141" s="2">
        <v>170570.22</v>
      </c>
    </row>
    <row r="142" spans="1:6" x14ac:dyDescent="0.25">
      <c r="A142" t="s">
        <v>51</v>
      </c>
      <c r="B142">
        <v>3</v>
      </c>
      <c r="C142" s="2">
        <v>184368.77</v>
      </c>
      <c r="D142" s="2" t="s">
        <v>390</v>
      </c>
      <c r="E142" s="1">
        <v>45271</v>
      </c>
      <c r="F142" s="2">
        <v>184368.77</v>
      </c>
    </row>
    <row r="143" spans="1:6" x14ac:dyDescent="0.25">
      <c r="A143" t="s">
        <v>52</v>
      </c>
      <c r="B143">
        <v>1</v>
      </c>
      <c r="C143" s="2">
        <v>778042.29</v>
      </c>
      <c r="D143" s="2" t="s">
        <v>390</v>
      </c>
      <c r="E143" s="1">
        <v>45288</v>
      </c>
      <c r="F143" s="2">
        <v>778042.29</v>
      </c>
    </row>
    <row r="144" spans="1:6" x14ac:dyDescent="0.25">
      <c r="A144" t="s">
        <v>52</v>
      </c>
      <c r="B144">
        <v>2</v>
      </c>
      <c r="C144" s="2">
        <v>955475.92</v>
      </c>
      <c r="D144" s="2" t="s">
        <v>390</v>
      </c>
      <c r="E144" s="1">
        <v>45715</v>
      </c>
      <c r="F144" s="2">
        <v>955475.92</v>
      </c>
    </row>
    <row r="145" spans="1:6" x14ac:dyDescent="0.25">
      <c r="A145" t="s">
        <v>52</v>
      </c>
      <c r="B145">
        <v>3</v>
      </c>
      <c r="C145" s="2">
        <v>1043220.87</v>
      </c>
      <c r="D145" s="2" t="s">
        <v>391</v>
      </c>
      <c r="E145" s="1"/>
      <c r="F145" s="2"/>
    </row>
    <row r="146" spans="1:6" x14ac:dyDescent="0.25">
      <c r="A146" t="s">
        <v>54</v>
      </c>
      <c r="B146">
        <v>1</v>
      </c>
      <c r="C146" s="2">
        <v>2513932.39</v>
      </c>
      <c r="D146" s="2" t="s">
        <v>390</v>
      </c>
      <c r="E146" s="1">
        <v>44676</v>
      </c>
      <c r="F146" s="2">
        <v>2513932.39</v>
      </c>
    </row>
    <row r="147" spans="1:6" x14ac:dyDescent="0.25">
      <c r="A147" t="s">
        <v>54</v>
      </c>
      <c r="B147">
        <v>2</v>
      </c>
      <c r="C147" s="2">
        <v>2455274.21</v>
      </c>
      <c r="D147" s="2" t="s">
        <v>390</v>
      </c>
      <c r="E147" s="1">
        <v>44986</v>
      </c>
      <c r="F147" s="2">
        <v>2455274.21</v>
      </c>
    </row>
    <row r="148" spans="1:6" x14ac:dyDescent="0.25">
      <c r="A148" t="s">
        <v>55</v>
      </c>
      <c r="B148">
        <v>1</v>
      </c>
      <c r="C148" s="2">
        <v>1000000</v>
      </c>
      <c r="D148" s="2" t="s">
        <v>390</v>
      </c>
      <c r="E148" s="1">
        <v>44740</v>
      </c>
      <c r="F148" s="2">
        <v>1000000</v>
      </c>
    </row>
    <row r="149" spans="1:6" x14ac:dyDescent="0.25">
      <c r="A149" t="s">
        <v>55</v>
      </c>
      <c r="B149">
        <v>2</v>
      </c>
      <c r="C149" s="2">
        <v>2012286.48</v>
      </c>
      <c r="D149" s="2" t="s">
        <v>390</v>
      </c>
      <c r="E149" s="1">
        <v>44986</v>
      </c>
      <c r="F149" s="2">
        <v>2012286.48</v>
      </c>
    </row>
    <row r="150" spans="1:6" x14ac:dyDescent="0.25">
      <c r="A150" t="s">
        <v>55</v>
      </c>
      <c r="B150">
        <v>3</v>
      </c>
      <c r="C150" s="2">
        <v>2012286.48</v>
      </c>
      <c r="D150" s="2" t="s">
        <v>390</v>
      </c>
      <c r="E150" s="1">
        <v>45271</v>
      </c>
      <c r="F150" s="2">
        <v>2012286.48</v>
      </c>
    </row>
    <row r="151" spans="1:6" x14ac:dyDescent="0.25">
      <c r="A151" t="s">
        <v>55</v>
      </c>
      <c r="B151">
        <v>4</v>
      </c>
      <c r="C151" s="2">
        <v>2012286.48</v>
      </c>
      <c r="D151" s="2" t="s">
        <v>390</v>
      </c>
      <c r="E151" s="1">
        <v>45484</v>
      </c>
      <c r="F151" s="2">
        <v>2012286.48</v>
      </c>
    </row>
    <row r="152" spans="1:6" x14ac:dyDescent="0.25">
      <c r="A152" t="s">
        <v>56</v>
      </c>
      <c r="B152">
        <v>1</v>
      </c>
      <c r="C152" s="2">
        <v>1200000</v>
      </c>
      <c r="D152" s="2" t="s">
        <v>390</v>
      </c>
      <c r="E152" s="1">
        <v>45952</v>
      </c>
      <c r="F152" s="2">
        <v>1200000</v>
      </c>
    </row>
    <row r="153" spans="1:6" x14ac:dyDescent="0.25">
      <c r="A153" t="s">
        <v>56</v>
      </c>
      <c r="B153">
        <v>2</v>
      </c>
      <c r="C153" s="2">
        <v>900000</v>
      </c>
      <c r="D153" s="2" t="s">
        <v>391</v>
      </c>
      <c r="E153" s="1"/>
      <c r="F153" s="2"/>
    </row>
    <row r="154" spans="1:6" x14ac:dyDescent="0.25">
      <c r="A154" t="s">
        <v>56</v>
      </c>
      <c r="B154">
        <v>3</v>
      </c>
      <c r="C154" s="2">
        <v>900000</v>
      </c>
      <c r="D154" s="2" t="s">
        <v>391</v>
      </c>
      <c r="E154" s="1"/>
      <c r="F154" s="2"/>
    </row>
    <row r="155" spans="1:6" x14ac:dyDescent="0.25">
      <c r="A155" t="s">
        <v>58</v>
      </c>
      <c r="B155">
        <v>1</v>
      </c>
      <c r="C155" s="2">
        <v>500000</v>
      </c>
      <c r="D155" s="2" t="s">
        <v>390</v>
      </c>
      <c r="E155" s="1">
        <v>44734</v>
      </c>
      <c r="F155" s="2">
        <v>500000</v>
      </c>
    </row>
    <row r="156" spans="1:6" x14ac:dyDescent="0.25">
      <c r="A156" t="s">
        <v>58</v>
      </c>
      <c r="B156">
        <v>2</v>
      </c>
      <c r="C156" s="2">
        <v>1354000</v>
      </c>
      <c r="D156" s="2" t="s">
        <v>390</v>
      </c>
      <c r="E156" s="1">
        <v>45001</v>
      </c>
      <c r="F156" s="2">
        <v>1354000</v>
      </c>
    </row>
    <row r="157" spans="1:6" x14ac:dyDescent="0.25">
      <c r="A157" t="s">
        <v>58</v>
      </c>
      <c r="B157">
        <v>3</v>
      </c>
      <c r="C157" s="2">
        <v>1353000</v>
      </c>
      <c r="D157" s="2" t="s">
        <v>390</v>
      </c>
      <c r="E157" s="1">
        <v>45267</v>
      </c>
      <c r="F157" s="2">
        <v>1353000</v>
      </c>
    </row>
    <row r="158" spans="1:6" x14ac:dyDescent="0.25">
      <c r="A158" t="s">
        <v>58</v>
      </c>
      <c r="B158">
        <v>4</v>
      </c>
      <c r="C158" s="2">
        <v>1353000</v>
      </c>
      <c r="D158" s="2" t="s">
        <v>390</v>
      </c>
      <c r="E158" s="1">
        <v>45653</v>
      </c>
      <c r="F158" s="2">
        <v>1353000</v>
      </c>
    </row>
    <row r="159" spans="1:6" x14ac:dyDescent="0.25">
      <c r="A159" t="s">
        <v>58</v>
      </c>
      <c r="B159">
        <v>5</v>
      </c>
      <c r="C159" s="2">
        <v>495303.52</v>
      </c>
      <c r="D159" s="2" t="s">
        <v>391</v>
      </c>
      <c r="E159" s="1"/>
      <c r="F159" s="2"/>
    </row>
    <row r="160" spans="1:6" x14ac:dyDescent="0.25">
      <c r="A160" t="s">
        <v>59</v>
      </c>
      <c r="B160">
        <v>1</v>
      </c>
      <c r="C160" s="2">
        <v>44271.32</v>
      </c>
      <c r="D160" s="2" t="s">
        <v>390</v>
      </c>
      <c r="E160" s="1">
        <v>44743</v>
      </c>
      <c r="F160" s="2">
        <v>44271.32</v>
      </c>
    </row>
    <row r="161" spans="1:6" x14ac:dyDescent="0.25">
      <c r="A161" t="s">
        <v>59</v>
      </c>
      <c r="B161">
        <v>2</v>
      </c>
      <c r="C161" s="2">
        <v>44271.32</v>
      </c>
      <c r="D161" s="2" t="s">
        <v>390</v>
      </c>
      <c r="E161" s="1">
        <v>45007</v>
      </c>
      <c r="F161" s="2">
        <v>44271.32</v>
      </c>
    </row>
    <row r="162" spans="1:6" x14ac:dyDescent="0.25">
      <c r="A162" t="s">
        <v>60</v>
      </c>
      <c r="B162">
        <v>1</v>
      </c>
      <c r="C162" s="2">
        <v>80000</v>
      </c>
      <c r="D162" s="2" t="s">
        <v>390</v>
      </c>
      <c r="E162" s="1">
        <v>44743</v>
      </c>
      <c r="F162" s="2">
        <v>80000</v>
      </c>
    </row>
    <row r="163" spans="1:6" x14ac:dyDescent="0.25">
      <c r="A163" t="s">
        <v>60</v>
      </c>
      <c r="B163">
        <v>2</v>
      </c>
      <c r="C163" s="2">
        <v>120000</v>
      </c>
      <c r="D163" s="2" t="s">
        <v>390</v>
      </c>
      <c r="E163" s="1">
        <v>45142</v>
      </c>
      <c r="F163" s="2">
        <v>120000</v>
      </c>
    </row>
    <row r="164" spans="1:6" x14ac:dyDescent="0.25">
      <c r="A164" t="s">
        <v>61</v>
      </c>
      <c r="B164">
        <v>1</v>
      </c>
      <c r="C164" s="2">
        <v>500000</v>
      </c>
      <c r="D164" s="2" t="s">
        <v>390</v>
      </c>
      <c r="E164" s="1">
        <v>44741</v>
      </c>
      <c r="F164" s="2">
        <v>500000</v>
      </c>
    </row>
    <row r="165" spans="1:6" x14ac:dyDescent="0.25">
      <c r="A165" t="s">
        <v>61</v>
      </c>
      <c r="B165">
        <v>2</v>
      </c>
      <c r="C165" s="2">
        <v>1000000</v>
      </c>
      <c r="D165" s="2" t="s">
        <v>390</v>
      </c>
      <c r="E165" s="1">
        <v>45077</v>
      </c>
      <c r="F165" s="2">
        <v>1000000</v>
      </c>
    </row>
    <row r="166" spans="1:6" x14ac:dyDescent="0.25">
      <c r="A166" t="s">
        <v>61</v>
      </c>
      <c r="B166">
        <v>3</v>
      </c>
      <c r="C166" s="2">
        <v>1000000</v>
      </c>
      <c r="D166" s="2" t="s">
        <v>390</v>
      </c>
      <c r="E166" s="1">
        <v>45398</v>
      </c>
      <c r="F166" s="2">
        <v>1000000</v>
      </c>
    </row>
    <row r="167" spans="1:6" x14ac:dyDescent="0.25">
      <c r="A167" t="s">
        <v>63</v>
      </c>
      <c r="B167">
        <v>1</v>
      </c>
      <c r="C167" s="2">
        <v>10000000</v>
      </c>
      <c r="D167" s="2" t="s">
        <v>390</v>
      </c>
      <c r="E167" s="1">
        <v>43287</v>
      </c>
      <c r="F167" s="2">
        <v>10000000</v>
      </c>
    </row>
    <row r="168" spans="1:6" x14ac:dyDescent="0.25">
      <c r="A168" t="s">
        <v>63</v>
      </c>
      <c r="B168">
        <v>2</v>
      </c>
      <c r="C168" s="2">
        <v>6000000</v>
      </c>
      <c r="D168" s="2" t="s">
        <v>390</v>
      </c>
      <c r="E168" s="1">
        <v>43451</v>
      </c>
      <c r="F168" s="2">
        <v>6000000</v>
      </c>
    </row>
    <row r="169" spans="1:6" x14ac:dyDescent="0.25">
      <c r="A169" t="s">
        <v>63</v>
      </c>
      <c r="B169">
        <v>3</v>
      </c>
      <c r="C169" s="2">
        <v>6000000</v>
      </c>
      <c r="D169" s="2" t="s">
        <v>390</v>
      </c>
      <c r="E169" s="1">
        <v>44753</v>
      </c>
      <c r="F169" s="2">
        <v>6000000</v>
      </c>
    </row>
    <row r="170" spans="1:6" x14ac:dyDescent="0.25">
      <c r="A170" t="s">
        <v>63</v>
      </c>
      <c r="B170">
        <v>4</v>
      </c>
      <c r="C170" s="2">
        <v>6000000</v>
      </c>
      <c r="D170" s="2" t="s">
        <v>391</v>
      </c>
      <c r="E170" s="1"/>
      <c r="F170" s="2"/>
    </row>
    <row r="171" spans="1:6" x14ac:dyDescent="0.25">
      <c r="A171" t="s">
        <v>63</v>
      </c>
      <c r="B171">
        <v>5</v>
      </c>
      <c r="C171" s="2">
        <v>6000000</v>
      </c>
      <c r="D171" s="2" t="s">
        <v>391</v>
      </c>
      <c r="E171" s="1"/>
      <c r="F171" s="2"/>
    </row>
    <row r="172" spans="1:6" x14ac:dyDescent="0.25">
      <c r="A172" t="s">
        <v>64</v>
      </c>
      <c r="B172">
        <v>1</v>
      </c>
      <c r="C172" s="2">
        <v>3899808.63</v>
      </c>
      <c r="D172" s="2" t="s">
        <v>390</v>
      </c>
      <c r="E172" s="1">
        <v>44742</v>
      </c>
      <c r="F172" s="2">
        <v>3899808.63</v>
      </c>
    </row>
    <row r="173" spans="1:6" x14ac:dyDescent="0.25">
      <c r="A173" t="s">
        <v>64</v>
      </c>
      <c r="B173">
        <v>2</v>
      </c>
      <c r="C173" s="2">
        <v>3899808.63</v>
      </c>
      <c r="D173" s="2" t="s">
        <v>390</v>
      </c>
      <c r="E173" s="1">
        <v>45229</v>
      </c>
      <c r="F173" s="2">
        <v>3899808.63</v>
      </c>
    </row>
    <row r="174" spans="1:6" x14ac:dyDescent="0.25">
      <c r="A174" t="s">
        <v>64</v>
      </c>
      <c r="B174">
        <v>3</v>
      </c>
      <c r="C174" s="2">
        <v>2599872.4300000002</v>
      </c>
      <c r="D174" s="2" t="s">
        <v>391</v>
      </c>
      <c r="E174" s="1"/>
      <c r="F174" s="2"/>
    </row>
    <row r="175" spans="1:6" x14ac:dyDescent="0.25">
      <c r="A175" t="s">
        <v>64</v>
      </c>
      <c r="B175">
        <v>4</v>
      </c>
      <c r="C175" s="2">
        <v>2599872.41</v>
      </c>
      <c r="D175" s="2" t="s">
        <v>391</v>
      </c>
      <c r="E175" s="1"/>
      <c r="F175" s="2"/>
    </row>
    <row r="176" spans="1:6" x14ac:dyDescent="0.25">
      <c r="A176" t="s">
        <v>65</v>
      </c>
      <c r="B176">
        <v>1</v>
      </c>
      <c r="C176" s="2">
        <v>2256894.4</v>
      </c>
      <c r="D176" s="2" t="s">
        <v>390</v>
      </c>
      <c r="E176" s="1">
        <v>44741</v>
      </c>
      <c r="F176" s="2">
        <v>2256894.4</v>
      </c>
    </row>
    <row r="177" spans="1:6" x14ac:dyDescent="0.25">
      <c r="A177" t="s">
        <v>65</v>
      </c>
      <c r="B177">
        <v>2</v>
      </c>
      <c r="C177" s="2">
        <v>2256894.4</v>
      </c>
      <c r="D177" s="2" t="s">
        <v>390</v>
      </c>
      <c r="E177" s="1">
        <v>45170</v>
      </c>
      <c r="F177" s="2">
        <v>2256894.4</v>
      </c>
    </row>
    <row r="178" spans="1:6" x14ac:dyDescent="0.25">
      <c r="A178" t="s">
        <v>65</v>
      </c>
      <c r="B178">
        <v>3</v>
      </c>
      <c r="C178" s="2">
        <v>1504596.2</v>
      </c>
      <c r="D178" s="2" t="s">
        <v>391</v>
      </c>
      <c r="E178" s="1"/>
      <c r="F178" s="2"/>
    </row>
    <row r="179" spans="1:6" x14ac:dyDescent="0.25">
      <c r="A179" t="s">
        <v>65</v>
      </c>
      <c r="B179">
        <v>4</v>
      </c>
      <c r="C179" s="2">
        <v>1504596.27</v>
      </c>
      <c r="D179" s="2" t="s">
        <v>391</v>
      </c>
      <c r="E179" s="1"/>
      <c r="F179" s="2"/>
    </row>
    <row r="180" spans="1:6" x14ac:dyDescent="0.25">
      <c r="A180" t="s">
        <v>66</v>
      </c>
      <c r="B180">
        <v>1</v>
      </c>
      <c r="C180" s="2">
        <v>922837.53</v>
      </c>
      <c r="D180" s="2" t="s">
        <v>390</v>
      </c>
      <c r="E180" s="1">
        <v>44740</v>
      </c>
      <c r="F180" s="2">
        <v>922837.53</v>
      </c>
    </row>
    <row r="181" spans="1:6" x14ac:dyDescent="0.25">
      <c r="A181" t="s">
        <v>66</v>
      </c>
      <c r="B181">
        <v>2</v>
      </c>
      <c r="C181" s="2">
        <v>2307093.8199999998</v>
      </c>
      <c r="D181" s="2" t="s">
        <v>390</v>
      </c>
      <c r="E181" s="1">
        <v>44836</v>
      </c>
      <c r="F181" s="2">
        <v>2307093.8199999998</v>
      </c>
    </row>
    <row r="182" spans="1:6" x14ac:dyDescent="0.25">
      <c r="A182" t="s">
        <v>66</v>
      </c>
      <c r="B182">
        <v>3</v>
      </c>
      <c r="C182" s="2">
        <v>1384256.29</v>
      </c>
      <c r="D182" s="2" t="s">
        <v>391</v>
      </c>
      <c r="E182" s="1"/>
      <c r="F182" s="2"/>
    </row>
    <row r="183" spans="1:6" x14ac:dyDescent="0.25">
      <c r="A183" t="s">
        <v>67</v>
      </c>
      <c r="B183">
        <v>1</v>
      </c>
      <c r="C183" s="2">
        <v>4151357.2</v>
      </c>
      <c r="D183" s="2" t="s">
        <v>390</v>
      </c>
      <c r="E183" s="1">
        <v>44743</v>
      </c>
      <c r="F183" s="2">
        <v>4151357.2</v>
      </c>
    </row>
    <row r="184" spans="1:6" x14ac:dyDescent="0.25">
      <c r="A184" t="s">
        <v>67</v>
      </c>
      <c r="B184">
        <v>2</v>
      </c>
      <c r="C184" s="2">
        <v>2300800.6</v>
      </c>
      <c r="D184" s="2" t="s">
        <v>390</v>
      </c>
      <c r="E184" s="1">
        <v>45229</v>
      </c>
      <c r="F184" s="2">
        <v>2300800.6</v>
      </c>
    </row>
    <row r="185" spans="1:6" x14ac:dyDescent="0.25">
      <c r="A185" t="s">
        <v>67</v>
      </c>
      <c r="B185">
        <v>3</v>
      </c>
      <c r="C185" s="2">
        <v>6112843.1500000004</v>
      </c>
      <c r="D185" s="2" t="s">
        <v>390</v>
      </c>
      <c r="E185" s="1">
        <v>45415</v>
      </c>
      <c r="F185" s="2">
        <v>6112843.1500000004</v>
      </c>
    </row>
    <row r="186" spans="1:6" x14ac:dyDescent="0.25">
      <c r="A186" t="s">
        <v>67</v>
      </c>
      <c r="B186">
        <v>4</v>
      </c>
      <c r="C186" s="2">
        <v>3386852.4</v>
      </c>
      <c r="D186" s="2" t="s">
        <v>391</v>
      </c>
      <c r="E186" s="1"/>
      <c r="F186" s="2"/>
    </row>
    <row r="187" spans="1:6" x14ac:dyDescent="0.25">
      <c r="A187" t="s">
        <v>67</v>
      </c>
      <c r="B187">
        <v>5</v>
      </c>
      <c r="C187" s="2">
        <v>2897262.85</v>
      </c>
      <c r="D187" s="2" t="s">
        <v>391</v>
      </c>
      <c r="E187" s="1"/>
      <c r="F187" s="2"/>
    </row>
    <row r="188" spans="1:6" x14ac:dyDescent="0.25">
      <c r="A188" t="s">
        <v>67</v>
      </c>
      <c r="B188">
        <v>6</v>
      </c>
      <c r="C188" s="2">
        <v>2227517.36</v>
      </c>
      <c r="D188" s="2" t="s">
        <v>391</v>
      </c>
      <c r="E188" s="1"/>
      <c r="F188" s="2"/>
    </row>
    <row r="189" spans="1:6" x14ac:dyDescent="0.25">
      <c r="A189" t="s">
        <v>68</v>
      </c>
      <c r="B189">
        <v>1</v>
      </c>
      <c r="C189" s="2">
        <v>6666666.6600000001</v>
      </c>
      <c r="D189" s="2" t="s">
        <v>390</v>
      </c>
      <c r="E189" s="1">
        <v>44740</v>
      </c>
      <c r="F189" s="2">
        <v>6666666.6600000001</v>
      </c>
    </row>
    <row r="190" spans="1:6" x14ac:dyDescent="0.25">
      <c r="A190" t="s">
        <v>68</v>
      </c>
      <c r="B190">
        <v>2</v>
      </c>
      <c r="C190" s="2">
        <v>6666666.6600000001</v>
      </c>
      <c r="D190" s="2" t="s">
        <v>390</v>
      </c>
      <c r="E190" s="1">
        <v>44859</v>
      </c>
      <c r="F190" s="2">
        <v>6666666.6600000001</v>
      </c>
    </row>
    <row r="191" spans="1:6" x14ac:dyDescent="0.25">
      <c r="A191" t="s">
        <v>68</v>
      </c>
      <c r="B191">
        <v>3</v>
      </c>
      <c r="C191" s="2">
        <v>6666666.5999999996</v>
      </c>
      <c r="D191" s="2" t="s">
        <v>390</v>
      </c>
      <c r="E191" s="1">
        <v>44959</v>
      </c>
      <c r="F191" s="2">
        <v>6666666.5999999996</v>
      </c>
    </row>
    <row r="192" spans="1:6" x14ac:dyDescent="0.25">
      <c r="A192" t="s">
        <v>68</v>
      </c>
      <c r="B192">
        <v>4</v>
      </c>
      <c r="C192" s="2">
        <v>6666666.5999999996</v>
      </c>
      <c r="D192" s="2" t="s">
        <v>390</v>
      </c>
      <c r="E192" s="1">
        <v>45092</v>
      </c>
      <c r="F192" s="2">
        <v>6666666.5999999996</v>
      </c>
    </row>
    <row r="193" spans="1:6" x14ac:dyDescent="0.25">
      <c r="A193" t="s">
        <v>68</v>
      </c>
      <c r="B193">
        <v>5</v>
      </c>
      <c r="C193" s="2">
        <v>6666666.5999999996</v>
      </c>
      <c r="D193" s="2" t="s">
        <v>390</v>
      </c>
      <c r="E193" s="1">
        <v>45183</v>
      </c>
      <c r="F193" s="2">
        <v>6666666.5999999996</v>
      </c>
    </row>
    <row r="194" spans="1:6" x14ac:dyDescent="0.25">
      <c r="A194" t="s">
        <v>68</v>
      </c>
      <c r="B194">
        <v>6</v>
      </c>
      <c r="C194" s="2">
        <v>6666666.7000000002</v>
      </c>
      <c r="D194" s="2" t="s">
        <v>390</v>
      </c>
      <c r="E194" s="1">
        <v>45286</v>
      </c>
      <c r="F194" s="2">
        <v>6666666.7000000002</v>
      </c>
    </row>
    <row r="195" spans="1:6" x14ac:dyDescent="0.25">
      <c r="A195" t="s">
        <v>69</v>
      </c>
      <c r="B195">
        <v>1</v>
      </c>
      <c r="C195" s="2">
        <v>1178501.76</v>
      </c>
      <c r="D195" s="2" t="s">
        <v>390</v>
      </c>
      <c r="E195" s="1">
        <v>44740</v>
      </c>
      <c r="F195" s="2">
        <v>1178501.76</v>
      </c>
    </row>
    <row r="196" spans="1:6" x14ac:dyDescent="0.25">
      <c r="A196" t="s">
        <v>69</v>
      </c>
      <c r="B196">
        <v>2</v>
      </c>
      <c r="C196" s="2">
        <v>1178501.76</v>
      </c>
      <c r="D196" s="2" t="s">
        <v>390</v>
      </c>
      <c r="E196" s="1">
        <v>45174</v>
      </c>
      <c r="F196" s="2">
        <v>1178501.76</v>
      </c>
    </row>
    <row r="197" spans="1:6" x14ac:dyDescent="0.25">
      <c r="A197" t="s">
        <v>69</v>
      </c>
      <c r="B197">
        <v>3</v>
      </c>
      <c r="C197" s="2">
        <v>589250.87</v>
      </c>
      <c r="D197" s="2" t="s">
        <v>391</v>
      </c>
      <c r="E197" s="1"/>
      <c r="F197" s="2"/>
    </row>
    <row r="198" spans="1:6" x14ac:dyDescent="0.25">
      <c r="A198" t="s">
        <v>70</v>
      </c>
      <c r="B198">
        <v>1</v>
      </c>
      <c r="C198" s="2">
        <v>2279967.9</v>
      </c>
      <c r="D198" s="2" t="s">
        <v>390</v>
      </c>
      <c r="E198" s="1">
        <v>44740</v>
      </c>
      <c r="F198" s="2">
        <v>2279967.9</v>
      </c>
    </row>
    <row r="199" spans="1:6" x14ac:dyDescent="0.25">
      <c r="A199" t="s">
        <v>70</v>
      </c>
      <c r="B199">
        <v>2</v>
      </c>
      <c r="C199" s="2">
        <v>2279967.9</v>
      </c>
      <c r="D199" s="2" t="s">
        <v>390</v>
      </c>
      <c r="E199" s="1">
        <v>45278</v>
      </c>
      <c r="F199" s="2">
        <v>2279967.9</v>
      </c>
    </row>
    <row r="200" spans="1:6" x14ac:dyDescent="0.25">
      <c r="A200" t="s">
        <v>70</v>
      </c>
      <c r="B200">
        <v>3</v>
      </c>
      <c r="C200" s="2">
        <v>1519978.6</v>
      </c>
      <c r="D200" s="2" t="s">
        <v>391</v>
      </c>
      <c r="E200" s="1"/>
      <c r="F200" s="2"/>
    </row>
    <row r="201" spans="1:6" x14ac:dyDescent="0.25">
      <c r="A201" t="s">
        <v>70</v>
      </c>
      <c r="B201">
        <v>4</v>
      </c>
      <c r="C201" s="2">
        <v>1519978.59</v>
      </c>
      <c r="D201" s="2" t="s">
        <v>391</v>
      </c>
      <c r="E201" s="1"/>
      <c r="F201" s="2"/>
    </row>
    <row r="202" spans="1:6" x14ac:dyDescent="0.25">
      <c r="A202" t="s">
        <v>71</v>
      </c>
      <c r="B202">
        <v>1</v>
      </c>
      <c r="C202" s="2">
        <v>2226039.4</v>
      </c>
      <c r="D202" s="2" t="s">
        <v>390</v>
      </c>
      <c r="E202" s="1">
        <v>44740</v>
      </c>
      <c r="F202" s="2">
        <v>2226039.4</v>
      </c>
    </row>
    <row r="203" spans="1:6" x14ac:dyDescent="0.25">
      <c r="A203" t="s">
        <v>71</v>
      </c>
      <c r="B203">
        <v>2</v>
      </c>
      <c r="C203" s="2">
        <v>2226039.4</v>
      </c>
      <c r="D203" s="2" t="s">
        <v>390</v>
      </c>
      <c r="E203" s="1">
        <v>45229</v>
      </c>
      <c r="F203" s="2">
        <v>2226039.4</v>
      </c>
    </row>
    <row r="204" spans="1:6" x14ac:dyDescent="0.25">
      <c r="A204" t="s">
        <v>71</v>
      </c>
      <c r="B204">
        <v>3</v>
      </c>
      <c r="C204" s="2">
        <v>1484026.23</v>
      </c>
      <c r="D204" s="2" t="s">
        <v>391</v>
      </c>
      <c r="E204" s="1"/>
      <c r="F204" s="2"/>
    </row>
    <row r="205" spans="1:6" x14ac:dyDescent="0.25">
      <c r="A205" t="s">
        <v>71</v>
      </c>
      <c r="B205">
        <v>4</v>
      </c>
      <c r="C205" s="2">
        <v>1484026.28</v>
      </c>
      <c r="D205" s="2" t="s">
        <v>391</v>
      </c>
      <c r="E205" s="1"/>
      <c r="F205" s="2"/>
    </row>
    <row r="206" spans="1:6" x14ac:dyDescent="0.25">
      <c r="A206" t="s">
        <v>72</v>
      </c>
      <c r="B206">
        <v>1</v>
      </c>
      <c r="C206" s="2">
        <v>191500</v>
      </c>
      <c r="D206" s="2" t="s">
        <v>390</v>
      </c>
      <c r="E206" s="1">
        <v>44735</v>
      </c>
      <c r="F206" s="2">
        <v>191500</v>
      </c>
    </row>
    <row r="207" spans="1:6" x14ac:dyDescent="0.25">
      <c r="A207" t="s">
        <v>72</v>
      </c>
      <c r="B207">
        <v>2</v>
      </c>
      <c r="C207" s="2">
        <v>284400</v>
      </c>
      <c r="D207" s="2" t="s">
        <v>390</v>
      </c>
      <c r="E207" s="1">
        <v>44895</v>
      </c>
      <c r="F207" s="2">
        <v>284400</v>
      </c>
    </row>
    <row r="208" spans="1:6" x14ac:dyDescent="0.25">
      <c r="A208" t="s">
        <v>72</v>
      </c>
      <c r="B208">
        <v>3</v>
      </c>
      <c r="C208" s="2">
        <v>315000</v>
      </c>
      <c r="D208" s="2" t="s">
        <v>390</v>
      </c>
      <c r="E208" s="1">
        <v>45607</v>
      </c>
      <c r="F208" s="2">
        <v>315000</v>
      </c>
    </row>
    <row r="209" spans="1:6" x14ac:dyDescent="0.25">
      <c r="A209" t="s">
        <v>72</v>
      </c>
      <c r="B209">
        <v>4</v>
      </c>
      <c r="C209" s="2">
        <v>331800</v>
      </c>
      <c r="D209" s="2" t="s">
        <v>391</v>
      </c>
      <c r="E209" s="1"/>
      <c r="F209" s="2"/>
    </row>
    <row r="210" spans="1:6" x14ac:dyDescent="0.25">
      <c r="A210" t="s">
        <v>72</v>
      </c>
      <c r="B210">
        <v>5</v>
      </c>
      <c r="C210" s="2">
        <v>342000</v>
      </c>
      <c r="D210" s="2" t="s">
        <v>391</v>
      </c>
      <c r="E210" s="1"/>
      <c r="F210" s="2"/>
    </row>
    <row r="211" spans="1:6" x14ac:dyDescent="0.25">
      <c r="A211" t="s">
        <v>72</v>
      </c>
      <c r="B211">
        <v>6</v>
      </c>
      <c r="C211" s="2">
        <v>276500</v>
      </c>
      <c r="D211" s="2" t="s">
        <v>391</v>
      </c>
      <c r="E211" s="1"/>
      <c r="F211" s="2"/>
    </row>
    <row r="212" spans="1:6" x14ac:dyDescent="0.25">
      <c r="A212" t="s">
        <v>72</v>
      </c>
      <c r="B212">
        <v>7</v>
      </c>
      <c r="C212" s="2">
        <v>173800</v>
      </c>
      <c r="D212" s="2" t="s">
        <v>391</v>
      </c>
      <c r="E212" s="1"/>
      <c r="F212" s="2"/>
    </row>
    <row r="213" spans="1:6" x14ac:dyDescent="0.25">
      <c r="A213" t="s">
        <v>73</v>
      </c>
      <c r="B213">
        <v>1</v>
      </c>
      <c r="C213" s="2">
        <v>57000</v>
      </c>
      <c r="D213" s="2" t="s">
        <v>390</v>
      </c>
      <c r="E213" s="1">
        <v>44735</v>
      </c>
      <c r="F213" s="2">
        <v>57000</v>
      </c>
    </row>
    <row r="214" spans="1:6" x14ac:dyDescent="0.25">
      <c r="A214" t="s">
        <v>73</v>
      </c>
      <c r="B214">
        <v>2</v>
      </c>
      <c r="C214" s="2">
        <v>133000</v>
      </c>
      <c r="D214" s="2" t="s">
        <v>390</v>
      </c>
      <c r="E214" s="1">
        <v>44882</v>
      </c>
      <c r="F214" s="2">
        <v>133000</v>
      </c>
    </row>
    <row r="215" spans="1:6" x14ac:dyDescent="0.25">
      <c r="A215" t="s">
        <v>73</v>
      </c>
      <c r="B215">
        <v>3</v>
      </c>
      <c r="C215" s="2">
        <v>133000</v>
      </c>
      <c r="D215" s="2" t="s">
        <v>390</v>
      </c>
      <c r="E215" s="1">
        <v>45149</v>
      </c>
      <c r="F215" s="2">
        <v>133000</v>
      </c>
    </row>
    <row r="216" spans="1:6" x14ac:dyDescent="0.25">
      <c r="A216" t="s">
        <v>73</v>
      </c>
      <c r="B216">
        <v>4</v>
      </c>
      <c r="C216" s="2">
        <v>75240</v>
      </c>
      <c r="D216" s="2" t="s">
        <v>390</v>
      </c>
      <c r="E216" s="1">
        <v>45615</v>
      </c>
      <c r="F216" s="2">
        <v>75240</v>
      </c>
    </row>
    <row r="217" spans="1:6" x14ac:dyDescent="0.25">
      <c r="A217" t="s">
        <v>73</v>
      </c>
      <c r="B217">
        <v>5</v>
      </c>
      <c r="C217" s="2">
        <v>57000</v>
      </c>
      <c r="D217" s="2" t="s">
        <v>390</v>
      </c>
      <c r="E217" s="1">
        <v>45807</v>
      </c>
      <c r="F217" s="2">
        <v>57000</v>
      </c>
    </row>
    <row r="218" spans="1:6" x14ac:dyDescent="0.25">
      <c r="A218" t="s">
        <v>75</v>
      </c>
      <c r="B218">
        <v>1</v>
      </c>
      <c r="C218" s="2">
        <v>55822.93</v>
      </c>
      <c r="D218" s="2" t="s">
        <v>390</v>
      </c>
      <c r="E218" s="1">
        <v>45478</v>
      </c>
      <c r="F218" s="2">
        <v>55822.93</v>
      </c>
    </row>
    <row r="219" spans="1:6" x14ac:dyDescent="0.25">
      <c r="A219" t="s">
        <v>75</v>
      </c>
      <c r="B219">
        <v>2</v>
      </c>
      <c r="C219" s="2">
        <v>316329.96000000002</v>
      </c>
      <c r="D219" s="2" t="s">
        <v>390</v>
      </c>
      <c r="E219" s="1">
        <v>45821</v>
      </c>
      <c r="F219" s="2">
        <v>316329.96000000002</v>
      </c>
    </row>
    <row r="220" spans="1:6" x14ac:dyDescent="0.25">
      <c r="A220" t="s">
        <v>76</v>
      </c>
      <c r="B220">
        <v>1</v>
      </c>
      <c r="C220" s="2">
        <v>80763.960000000006</v>
      </c>
      <c r="D220" s="2" t="s">
        <v>390</v>
      </c>
      <c r="E220" s="1">
        <v>45477</v>
      </c>
      <c r="F220" s="2">
        <v>80763.960000000006</v>
      </c>
    </row>
    <row r="221" spans="1:6" x14ac:dyDescent="0.25">
      <c r="A221" t="s">
        <v>76</v>
      </c>
      <c r="B221">
        <v>2</v>
      </c>
      <c r="C221" s="2">
        <v>80763.960000000006</v>
      </c>
      <c r="D221" s="2" t="s">
        <v>390</v>
      </c>
      <c r="E221" s="1">
        <v>45800</v>
      </c>
      <c r="F221" s="2">
        <v>80763.960000000006</v>
      </c>
    </row>
    <row r="222" spans="1:6" x14ac:dyDescent="0.25">
      <c r="A222" t="s">
        <v>76</v>
      </c>
      <c r="B222">
        <v>3</v>
      </c>
      <c r="C222" s="2">
        <v>323055.84000000003</v>
      </c>
      <c r="D222" s="2" t="s">
        <v>391</v>
      </c>
      <c r="E222" s="1"/>
      <c r="F222" s="2"/>
    </row>
    <row r="223" spans="1:6" x14ac:dyDescent="0.25">
      <c r="A223" t="s">
        <v>78</v>
      </c>
      <c r="B223">
        <v>1</v>
      </c>
      <c r="C223" s="2">
        <v>954365.99</v>
      </c>
      <c r="D223" s="2" t="s">
        <v>390</v>
      </c>
      <c r="E223" s="1">
        <v>44707</v>
      </c>
      <c r="F223" s="2">
        <v>954365.99</v>
      </c>
    </row>
    <row r="224" spans="1:6" x14ac:dyDescent="0.25">
      <c r="A224" t="s">
        <v>78</v>
      </c>
      <c r="B224">
        <v>2</v>
      </c>
      <c r="C224" s="2">
        <v>2238032.81</v>
      </c>
      <c r="D224" s="2" t="s">
        <v>390</v>
      </c>
      <c r="E224" s="1">
        <v>44981</v>
      </c>
      <c r="F224" s="2">
        <v>2238032.81</v>
      </c>
    </row>
    <row r="225" spans="1:6" x14ac:dyDescent="0.25">
      <c r="A225" t="s">
        <v>78</v>
      </c>
      <c r="B225">
        <v>3</v>
      </c>
      <c r="C225" s="2">
        <v>957882.58</v>
      </c>
      <c r="D225" s="2" t="s">
        <v>390</v>
      </c>
      <c r="E225" s="1">
        <v>45364</v>
      </c>
      <c r="F225" s="2">
        <v>957882.58</v>
      </c>
    </row>
    <row r="226" spans="1:6" x14ac:dyDescent="0.25">
      <c r="A226" t="s">
        <v>78</v>
      </c>
      <c r="B226">
        <v>4</v>
      </c>
      <c r="C226" s="2">
        <v>710882.05</v>
      </c>
      <c r="D226" s="2" t="s">
        <v>390</v>
      </c>
      <c r="E226" s="1">
        <v>45840</v>
      </c>
      <c r="F226" s="2">
        <v>710882.05</v>
      </c>
    </row>
    <row r="227" spans="1:6" x14ac:dyDescent="0.25">
      <c r="A227" t="s">
        <v>79</v>
      </c>
      <c r="B227">
        <v>1</v>
      </c>
      <c r="C227" s="2">
        <v>833333.33</v>
      </c>
      <c r="D227" s="2" t="s">
        <v>390</v>
      </c>
      <c r="E227" s="1">
        <v>44704</v>
      </c>
      <c r="F227" s="2">
        <v>833333.33</v>
      </c>
    </row>
    <row r="228" spans="1:6" x14ac:dyDescent="0.25">
      <c r="A228" t="s">
        <v>79</v>
      </c>
      <c r="B228">
        <v>2</v>
      </c>
      <c r="C228" s="2">
        <v>1033333.34</v>
      </c>
      <c r="D228" s="2" t="s">
        <v>390</v>
      </c>
      <c r="E228" s="1">
        <v>44959</v>
      </c>
      <c r="F228" s="2">
        <v>1033333.34</v>
      </c>
    </row>
    <row r="229" spans="1:6" x14ac:dyDescent="0.25">
      <c r="A229" t="s">
        <v>79</v>
      </c>
      <c r="B229">
        <v>3</v>
      </c>
      <c r="C229" s="2">
        <v>633333.32999999996</v>
      </c>
      <c r="D229" s="2" t="s">
        <v>390</v>
      </c>
      <c r="E229" s="1">
        <v>45840</v>
      </c>
      <c r="F229" s="2">
        <v>633333.32999999996</v>
      </c>
    </row>
    <row r="230" spans="1:6" x14ac:dyDescent="0.25">
      <c r="A230" t="s">
        <v>80</v>
      </c>
      <c r="B230">
        <v>1</v>
      </c>
      <c r="C230" s="2">
        <v>2302912.09</v>
      </c>
      <c r="D230" s="2" t="s">
        <v>390</v>
      </c>
      <c r="E230" s="1">
        <v>44713</v>
      </c>
      <c r="F230" s="2">
        <v>2302912.09</v>
      </c>
    </row>
    <row r="231" spans="1:6" x14ac:dyDescent="0.25">
      <c r="A231" t="s">
        <v>80</v>
      </c>
      <c r="B231">
        <v>2</v>
      </c>
      <c r="C231" s="2">
        <v>1572247.98</v>
      </c>
      <c r="D231" s="2" t="s">
        <v>390</v>
      </c>
      <c r="E231" s="1">
        <v>45044</v>
      </c>
      <c r="F231" s="2">
        <v>1572247.98</v>
      </c>
    </row>
    <row r="232" spans="1:6" x14ac:dyDescent="0.25">
      <c r="A232" t="s">
        <v>80</v>
      </c>
      <c r="B232">
        <v>3</v>
      </c>
      <c r="C232" s="2">
        <v>1408652.81</v>
      </c>
      <c r="D232" s="2" t="s">
        <v>390</v>
      </c>
      <c r="E232" s="1">
        <v>45364</v>
      </c>
      <c r="F232" s="2">
        <v>1408652.81</v>
      </c>
    </row>
    <row r="233" spans="1:6" x14ac:dyDescent="0.25">
      <c r="A233" t="s">
        <v>80</v>
      </c>
      <c r="B233">
        <v>4</v>
      </c>
      <c r="C233" s="2">
        <v>2154956.94</v>
      </c>
      <c r="D233" s="2" t="s">
        <v>390</v>
      </c>
      <c r="E233" s="1">
        <v>45714</v>
      </c>
      <c r="F233" s="2">
        <v>2154956.94</v>
      </c>
    </row>
    <row r="234" spans="1:6" x14ac:dyDescent="0.25">
      <c r="A234" t="s">
        <v>80</v>
      </c>
      <c r="B234">
        <v>5</v>
      </c>
      <c r="C234" s="2">
        <v>923552.98</v>
      </c>
      <c r="D234" s="2" t="s">
        <v>390</v>
      </c>
      <c r="E234" s="1">
        <v>45853</v>
      </c>
      <c r="F234" s="2">
        <v>923552.98</v>
      </c>
    </row>
    <row r="235" spans="1:6" x14ac:dyDescent="0.25">
      <c r="A235" t="s">
        <v>81</v>
      </c>
      <c r="B235">
        <v>1</v>
      </c>
      <c r="C235" s="2">
        <v>500000</v>
      </c>
      <c r="D235" s="2" t="s">
        <v>390</v>
      </c>
      <c r="E235" s="1">
        <v>44740</v>
      </c>
      <c r="F235" s="2">
        <v>500000</v>
      </c>
    </row>
    <row r="236" spans="1:6" x14ac:dyDescent="0.25">
      <c r="A236" t="s">
        <v>81</v>
      </c>
      <c r="B236">
        <v>2</v>
      </c>
      <c r="C236" s="2">
        <v>500000</v>
      </c>
      <c r="D236" s="2" t="s">
        <v>390</v>
      </c>
      <c r="E236" s="1">
        <v>45404</v>
      </c>
      <c r="F236" s="2">
        <v>500000</v>
      </c>
    </row>
    <row r="237" spans="1:6" x14ac:dyDescent="0.25">
      <c r="A237" t="s">
        <v>81</v>
      </c>
      <c r="B237">
        <v>3</v>
      </c>
      <c r="C237" s="2">
        <v>500000</v>
      </c>
      <c r="D237" s="2" t="s">
        <v>390</v>
      </c>
      <c r="E237" s="1">
        <v>45840</v>
      </c>
      <c r="F237" s="2">
        <v>500000</v>
      </c>
    </row>
    <row r="238" spans="1:6" x14ac:dyDescent="0.25">
      <c r="A238" t="s">
        <v>82</v>
      </c>
      <c r="B238">
        <v>1</v>
      </c>
      <c r="C238" s="2">
        <v>236690</v>
      </c>
      <c r="D238" s="2" t="s">
        <v>390</v>
      </c>
      <c r="E238" s="1">
        <v>44743</v>
      </c>
      <c r="F238" s="2">
        <v>236690</v>
      </c>
    </row>
    <row r="239" spans="1:6" x14ac:dyDescent="0.25">
      <c r="A239" t="s">
        <v>82</v>
      </c>
      <c r="B239">
        <v>2</v>
      </c>
      <c r="C239" s="2">
        <v>163040</v>
      </c>
      <c r="D239" s="2" t="s">
        <v>390</v>
      </c>
      <c r="E239" s="1">
        <v>45114</v>
      </c>
      <c r="F239" s="2">
        <v>163040</v>
      </c>
    </row>
    <row r="240" spans="1:6" x14ac:dyDescent="0.25">
      <c r="A240" t="s">
        <v>84</v>
      </c>
      <c r="B240">
        <v>1</v>
      </c>
      <c r="C240" s="2">
        <v>66280.58</v>
      </c>
      <c r="D240" s="2" t="s">
        <v>390</v>
      </c>
      <c r="E240" s="1">
        <v>44743</v>
      </c>
      <c r="F240" s="2">
        <v>66280.58</v>
      </c>
    </row>
    <row r="241" spans="1:6" x14ac:dyDescent="0.25">
      <c r="A241" t="s">
        <v>84</v>
      </c>
      <c r="B241">
        <v>2</v>
      </c>
      <c r="C241" s="2">
        <v>113691.97</v>
      </c>
      <c r="D241" s="2" t="s">
        <v>390</v>
      </c>
      <c r="E241" s="1">
        <v>45016</v>
      </c>
      <c r="F241" s="2">
        <v>113691.97</v>
      </c>
    </row>
    <row r="242" spans="1:6" x14ac:dyDescent="0.25">
      <c r="A242" t="s">
        <v>84</v>
      </c>
      <c r="B242">
        <v>3</v>
      </c>
      <c r="C242" s="2">
        <v>108753.15</v>
      </c>
      <c r="D242" s="2" t="s">
        <v>390</v>
      </c>
      <c r="E242" s="1">
        <v>45267</v>
      </c>
      <c r="F242" s="2">
        <v>108753.15</v>
      </c>
    </row>
    <row r="243" spans="1:6" x14ac:dyDescent="0.25">
      <c r="A243" t="s">
        <v>86</v>
      </c>
      <c r="B243">
        <v>1</v>
      </c>
      <c r="C243" s="2">
        <v>294000</v>
      </c>
      <c r="D243" s="2" t="s">
        <v>390</v>
      </c>
      <c r="E243" s="1">
        <v>44740</v>
      </c>
      <c r="F243" s="2">
        <v>294000</v>
      </c>
    </row>
    <row r="244" spans="1:6" x14ac:dyDescent="0.25">
      <c r="A244" t="s">
        <v>86</v>
      </c>
      <c r="B244">
        <v>2</v>
      </c>
      <c r="C244" s="2">
        <v>343000</v>
      </c>
      <c r="D244" s="2" t="s">
        <v>390</v>
      </c>
      <c r="E244" s="1">
        <v>45393</v>
      </c>
      <c r="F244" s="2">
        <v>343000</v>
      </c>
    </row>
    <row r="245" spans="1:6" x14ac:dyDescent="0.25">
      <c r="A245" t="s">
        <v>86</v>
      </c>
      <c r="B245">
        <v>3</v>
      </c>
      <c r="C245" s="2">
        <v>564735.27</v>
      </c>
      <c r="D245" s="2" t="s">
        <v>390</v>
      </c>
      <c r="E245" s="1">
        <v>45694</v>
      </c>
      <c r="F245" s="2">
        <v>564735.27</v>
      </c>
    </row>
    <row r="246" spans="1:6" x14ac:dyDescent="0.25">
      <c r="A246" t="s">
        <v>88</v>
      </c>
      <c r="B246">
        <v>1</v>
      </c>
      <c r="C246" s="2">
        <v>2100000</v>
      </c>
      <c r="D246" s="2" t="s">
        <v>390</v>
      </c>
      <c r="E246" s="1">
        <v>44594</v>
      </c>
      <c r="F246" s="2">
        <v>2100000</v>
      </c>
    </row>
    <row r="247" spans="1:6" x14ac:dyDescent="0.25">
      <c r="A247" t="s">
        <v>88</v>
      </c>
      <c r="B247">
        <v>2</v>
      </c>
      <c r="C247" s="2">
        <v>1795000</v>
      </c>
      <c r="D247" s="2" t="s">
        <v>390</v>
      </c>
      <c r="E247" s="1">
        <v>44986</v>
      </c>
      <c r="F247" s="2">
        <v>1795000</v>
      </c>
    </row>
    <row r="248" spans="1:6" x14ac:dyDescent="0.25">
      <c r="A248" t="s">
        <v>88</v>
      </c>
      <c r="B248">
        <v>3</v>
      </c>
      <c r="C248" s="2">
        <v>270000</v>
      </c>
      <c r="D248" s="2" t="s">
        <v>390</v>
      </c>
      <c r="E248" s="1">
        <v>45399</v>
      </c>
      <c r="F248" s="2">
        <v>270000</v>
      </c>
    </row>
    <row r="249" spans="1:6" x14ac:dyDescent="0.25">
      <c r="A249" t="s">
        <v>88</v>
      </c>
      <c r="B249">
        <v>4</v>
      </c>
      <c r="C249" s="2">
        <v>600000</v>
      </c>
      <c r="D249" s="2" t="s">
        <v>391</v>
      </c>
      <c r="E249" s="1"/>
      <c r="F249" s="2"/>
    </row>
    <row r="250" spans="1:6" x14ac:dyDescent="0.25">
      <c r="A250" t="s">
        <v>89</v>
      </c>
      <c r="B250">
        <v>1</v>
      </c>
      <c r="C250" s="2">
        <v>3740000</v>
      </c>
      <c r="D250" s="2" t="s">
        <v>390</v>
      </c>
      <c r="E250" s="1">
        <v>44594</v>
      </c>
      <c r="F250" s="2">
        <v>3740000</v>
      </c>
    </row>
    <row r="251" spans="1:6" x14ac:dyDescent="0.25">
      <c r="A251" t="s">
        <v>89</v>
      </c>
      <c r="B251">
        <v>2</v>
      </c>
      <c r="C251" s="2">
        <v>5908000</v>
      </c>
      <c r="D251" s="2" t="s">
        <v>390</v>
      </c>
      <c r="E251" s="1">
        <v>44986</v>
      </c>
      <c r="F251" s="2">
        <v>5908000</v>
      </c>
    </row>
    <row r="252" spans="1:6" x14ac:dyDescent="0.25">
      <c r="A252" t="s">
        <v>89</v>
      </c>
      <c r="B252">
        <v>3</v>
      </c>
      <c r="C252" s="2">
        <v>965000</v>
      </c>
      <c r="D252" s="2" t="s">
        <v>390</v>
      </c>
      <c r="E252" s="1">
        <v>45279</v>
      </c>
      <c r="F252" s="2">
        <v>965000</v>
      </c>
    </row>
    <row r="253" spans="1:6" x14ac:dyDescent="0.25">
      <c r="A253" t="s">
        <v>89</v>
      </c>
      <c r="B253">
        <v>4</v>
      </c>
      <c r="C253" s="2">
        <v>1150000</v>
      </c>
      <c r="D253" s="2" t="s">
        <v>391</v>
      </c>
      <c r="E253" s="1"/>
      <c r="F253" s="2"/>
    </row>
    <row r="254" spans="1:6" x14ac:dyDescent="0.25">
      <c r="A254" t="s">
        <v>90</v>
      </c>
      <c r="B254">
        <v>1</v>
      </c>
      <c r="C254" s="2">
        <v>150000</v>
      </c>
      <c r="D254" s="2" t="s">
        <v>390</v>
      </c>
      <c r="E254" s="1">
        <v>44742</v>
      </c>
      <c r="F254" s="2">
        <v>150000</v>
      </c>
    </row>
    <row r="255" spans="1:6" x14ac:dyDescent="0.25">
      <c r="A255" t="s">
        <v>90</v>
      </c>
      <c r="B255">
        <v>2</v>
      </c>
      <c r="C255" s="2">
        <v>150000</v>
      </c>
      <c r="D255" s="2" t="s">
        <v>390</v>
      </c>
      <c r="E255" s="1">
        <v>45142</v>
      </c>
      <c r="F255" s="2">
        <v>150000</v>
      </c>
    </row>
    <row r="256" spans="1:6" x14ac:dyDescent="0.25">
      <c r="A256" t="s">
        <v>91</v>
      </c>
      <c r="B256">
        <v>1</v>
      </c>
      <c r="C256" s="2">
        <v>200000</v>
      </c>
      <c r="D256" s="2" t="s">
        <v>390</v>
      </c>
      <c r="E256" s="1">
        <v>45979</v>
      </c>
      <c r="F256" s="2">
        <v>200000</v>
      </c>
    </row>
    <row r="257" spans="1:6" x14ac:dyDescent="0.25">
      <c r="A257" t="s">
        <v>91</v>
      </c>
      <c r="B257">
        <v>2</v>
      </c>
      <c r="C257" s="2">
        <v>200000</v>
      </c>
      <c r="D257" s="2" t="s">
        <v>391</v>
      </c>
      <c r="E257" s="1"/>
      <c r="F257" s="2"/>
    </row>
    <row r="258" spans="1:6" x14ac:dyDescent="0.25">
      <c r="A258" t="s">
        <v>92</v>
      </c>
      <c r="B258">
        <v>1</v>
      </c>
      <c r="C258" s="2">
        <v>300000</v>
      </c>
      <c r="D258" s="2" t="s">
        <v>390</v>
      </c>
      <c r="E258" s="1">
        <v>45966</v>
      </c>
      <c r="F258" s="2">
        <v>300000</v>
      </c>
    </row>
    <row r="259" spans="1:6" x14ac:dyDescent="0.25">
      <c r="A259" t="s">
        <v>92</v>
      </c>
      <c r="B259">
        <v>2</v>
      </c>
      <c r="C259" s="2">
        <v>300000</v>
      </c>
      <c r="D259" s="2" t="s">
        <v>391</v>
      </c>
      <c r="E259" s="1"/>
      <c r="F259" s="2"/>
    </row>
    <row r="260" spans="1:6" x14ac:dyDescent="0.25">
      <c r="A260" t="s">
        <v>92</v>
      </c>
      <c r="B260">
        <v>3</v>
      </c>
      <c r="C260" s="2">
        <v>250000</v>
      </c>
      <c r="D260" s="2" t="s">
        <v>391</v>
      </c>
      <c r="E260" s="1"/>
      <c r="F260" s="2"/>
    </row>
    <row r="261" spans="1:6" x14ac:dyDescent="0.25">
      <c r="A261" t="s">
        <v>94</v>
      </c>
      <c r="B261">
        <v>1</v>
      </c>
      <c r="C261" s="2">
        <v>147451.93</v>
      </c>
      <c r="D261" s="2" t="s">
        <v>390</v>
      </c>
      <c r="E261" s="1">
        <v>44713</v>
      </c>
      <c r="F261" s="2">
        <v>147451.93</v>
      </c>
    </row>
    <row r="262" spans="1:6" x14ac:dyDescent="0.25">
      <c r="A262" t="s">
        <v>94</v>
      </c>
      <c r="B262">
        <v>2</v>
      </c>
      <c r="C262" s="2">
        <v>147451.93</v>
      </c>
      <c r="D262" s="2" t="s">
        <v>390</v>
      </c>
      <c r="E262" s="1">
        <v>45755</v>
      </c>
      <c r="F262" s="2">
        <v>147451.93</v>
      </c>
    </row>
    <row r="263" spans="1:6" x14ac:dyDescent="0.25">
      <c r="A263" t="s">
        <v>94</v>
      </c>
      <c r="B263">
        <v>3</v>
      </c>
      <c r="C263" s="2">
        <v>147451.94</v>
      </c>
      <c r="D263" s="2" t="s">
        <v>391</v>
      </c>
      <c r="E263" s="1"/>
      <c r="F263" s="2"/>
    </row>
    <row r="264" spans="1:6" x14ac:dyDescent="0.25">
      <c r="A264" t="s">
        <v>95</v>
      </c>
      <c r="B264">
        <v>1</v>
      </c>
      <c r="C264" s="2">
        <v>240398.64</v>
      </c>
      <c r="D264" s="2" t="s">
        <v>390</v>
      </c>
      <c r="E264" s="1">
        <v>45014</v>
      </c>
      <c r="F264" s="2">
        <v>240398.64</v>
      </c>
    </row>
    <row r="265" spans="1:6" x14ac:dyDescent="0.25">
      <c r="A265" t="s">
        <v>95</v>
      </c>
      <c r="B265">
        <v>2</v>
      </c>
      <c r="C265" s="2">
        <v>240398.64</v>
      </c>
      <c r="D265" s="2" t="s">
        <v>390</v>
      </c>
      <c r="E265" s="1">
        <v>45373</v>
      </c>
      <c r="F265" s="2">
        <v>240398.64</v>
      </c>
    </row>
    <row r="266" spans="1:6" x14ac:dyDescent="0.25">
      <c r="A266" t="s">
        <v>97</v>
      </c>
      <c r="B266">
        <v>1</v>
      </c>
      <c r="C266" s="2">
        <v>643434.47</v>
      </c>
      <c r="D266" s="2" t="s">
        <v>390</v>
      </c>
      <c r="E266" s="1">
        <v>44740</v>
      </c>
      <c r="F266" s="2">
        <v>643434.47</v>
      </c>
    </row>
    <row r="267" spans="1:6" x14ac:dyDescent="0.25">
      <c r="A267" t="s">
        <v>97</v>
      </c>
      <c r="B267">
        <v>2</v>
      </c>
      <c r="C267" s="2">
        <v>1103366.8999999999</v>
      </c>
      <c r="D267" s="2" t="s">
        <v>390</v>
      </c>
      <c r="E267" s="1">
        <v>44980</v>
      </c>
      <c r="F267" s="2">
        <v>1103366.8999999999</v>
      </c>
    </row>
    <row r="268" spans="1:6" x14ac:dyDescent="0.25">
      <c r="A268" t="s">
        <v>97</v>
      </c>
      <c r="B268">
        <v>3</v>
      </c>
      <c r="C268" s="2">
        <v>358272.12</v>
      </c>
      <c r="D268" s="2" t="s">
        <v>390</v>
      </c>
      <c r="E268" s="1">
        <v>45271</v>
      </c>
      <c r="F268" s="2">
        <v>358272.12</v>
      </c>
    </row>
    <row r="269" spans="1:6" x14ac:dyDescent="0.25">
      <c r="A269" t="s">
        <v>99</v>
      </c>
      <c r="B269">
        <v>1</v>
      </c>
      <c r="C269" s="2">
        <v>180000</v>
      </c>
      <c r="D269" s="2" t="s">
        <v>390</v>
      </c>
      <c r="E269" s="1">
        <v>44601</v>
      </c>
      <c r="F269" s="2">
        <v>180000</v>
      </c>
    </row>
    <row r="270" spans="1:6" x14ac:dyDescent="0.25">
      <c r="A270" t="s">
        <v>99</v>
      </c>
      <c r="B270">
        <v>2</v>
      </c>
      <c r="C270" s="2">
        <v>120000</v>
      </c>
      <c r="D270" s="2" t="s">
        <v>390</v>
      </c>
      <c r="E270" s="1">
        <v>44910</v>
      </c>
      <c r="F270" s="2">
        <v>120000</v>
      </c>
    </row>
    <row r="271" spans="1:6" x14ac:dyDescent="0.25">
      <c r="A271" t="s">
        <v>100</v>
      </c>
      <c r="B271">
        <v>1</v>
      </c>
      <c r="C271" s="2">
        <v>125000</v>
      </c>
      <c r="D271" s="2" t="s">
        <v>390</v>
      </c>
      <c r="E271" s="1">
        <v>44740</v>
      </c>
      <c r="F271" s="2">
        <v>125000</v>
      </c>
    </row>
    <row r="272" spans="1:6" x14ac:dyDescent="0.25">
      <c r="A272" t="s">
        <v>100</v>
      </c>
      <c r="B272">
        <v>2</v>
      </c>
      <c r="C272" s="2">
        <v>125000</v>
      </c>
      <c r="D272" s="2" t="s">
        <v>390</v>
      </c>
      <c r="E272" s="1">
        <v>44910</v>
      </c>
      <c r="F272" s="2">
        <v>125000</v>
      </c>
    </row>
    <row r="273" spans="1:6" x14ac:dyDescent="0.25">
      <c r="A273" t="s">
        <v>101</v>
      </c>
      <c r="B273">
        <v>1</v>
      </c>
      <c r="C273" s="2">
        <v>225786.67</v>
      </c>
      <c r="D273" s="2" t="s">
        <v>390</v>
      </c>
      <c r="E273" s="1">
        <v>44742</v>
      </c>
      <c r="F273" s="2">
        <v>225786.67</v>
      </c>
    </row>
    <row r="274" spans="1:6" x14ac:dyDescent="0.25">
      <c r="A274" t="s">
        <v>101</v>
      </c>
      <c r="B274">
        <v>2</v>
      </c>
      <c r="C274" s="2">
        <v>74213.33</v>
      </c>
      <c r="D274" s="2" t="s">
        <v>390</v>
      </c>
      <c r="E274" s="1">
        <v>45279</v>
      </c>
      <c r="F274" s="2">
        <v>74213.33</v>
      </c>
    </row>
    <row r="275" spans="1:6" x14ac:dyDescent="0.25">
      <c r="A275" t="s">
        <v>102</v>
      </c>
      <c r="B275">
        <v>1</v>
      </c>
      <c r="C275" s="2">
        <v>100000</v>
      </c>
      <c r="D275" s="2" t="s">
        <v>390</v>
      </c>
      <c r="E275" s="1">
        <v>45042</v>
      </c>
      <c r="F275" s="2">
        <v>100000</v>
      </c>
    </row>
    <row r="276" spans="1:6" x14ac:dyDescent="0.25">
      <c r="A276" t="s">
        <v>102</v>
      </c>
      <c r="B276">
        <v>2</v>
      </c>
      <c r="C276" s="2">
        <v>100000</v>
      </c>
      <c r="D276" s="2" t="s">
        <v>390</v>
      </c>
      <c r="E276" s="1">
        <v>45252</v>
      </c>
      <c r="F276" s="2">
        <v>100000</v>
      </c>
    </row>
    <row r="277" spans="1:6" x14ac:dyDescent="0.25">
      <c r="A277" t="s">
        <v>103</v>
      </c>
      <c r="B277">
        <v>1</v>
      </c>
      <c r="C277" s="2">
        <v>500000</v>
      </c>
      <c r="D277" s="2" t="s">
        <v>390</v>
      </c>
      <c r="E277" s="1">
        <v>45450</v>
      </c>
      <c r="F277" s="2">
        <v>500000</v>
      </c>
    </row>
    <row r="278" spans="1:6" x14ac:dyDescent="0.25">
      <c r="A278" t="s">
        <v>103</v>
      </c>
      <c r="B278">
        <v>2</v>
      </c>
      <c r="C278" s="2">
        <v>500000</v>
      </c>
      <c r="D278" s="2" t="s">
        <v>390</v>
      </c>
      <c r="E278" s="1">
        <v>46009</v>
      </c>
      <c r="F278" s="2">
        <v>500000</v>
      </c>
    </row>
    <row r="279" spans="1:6" x14ac:dyDescent="0.25">
      <c r="A279" t="s">
        <v>104</v>
      </c>
      <c r="B279">
        <v>1</v>
      </c>
      <c r="C279" s="2">
        <v>19560.810000000001</v>
      </c>
      <c r="D279" s="2" t="s">
        <v>390</v>
      </c>
      <c r="E279" s="1">
        <v>45450</v>
      </c>
      <c r="F279" s="2">
        <v>19560.810000000001</v>
      </c>
    </row>
    <row r="280" spans="1:6" x14ac:dyDescent="0.25">
      <c r="A280" t="s">
        <v>104</v>
      </c>
      <c r="B280">
        <v>2</v>
      </c>
      <c r="C280" s="2">
        <v>19560.810000000001</v>
      </c>
      <c r="D280" s="2" t="s">
        <v>390</v>
      </c>
      <c r="E280" s="1">
        <v>45716</v>
      </c>
      <c r="F280" s="2">
        <v>19560.810000000001</v>
      </c>
    </row>
    <row r="281" spans="1:6" x14ac:dyDescent="0.25">
      <c r="A281" t="s">
        <v>392</v>
      </c>
      <c r="B281">
        <v>1</v>
      </c>
      <c r="C281" s="2">
        <v>500000</v>
      </c>
      <c r="D281" s="2" t="s">
        <v>390</v>
      </c>
      <c r="E281" s="1">
        <v>45453</v>
      </c>
      <c r="F281" s="2">
        <v>500000</v>
      </c>
    </row>
    <row r="282" spans="1:6" x14ac:dyDescent="0.25">
      <c r="A282" t="s">
        <v>392</v>
      </c>
      <c r="B282">
        <v>2</v>
      </c>
      <c r="C282" s="2">
        <v>500000</v>
      </c>
      <c r="D282" s="2" t="s">
        <v>390</v>
      </c>
      <c r="E282" s="1">
        <v>45796</v>
      </c>
      <c r="F282" s="2">
        <v>500000</v>
      </c>
    </row>
    <row r="283" spans="1:6" x14ac:dyDescent="0.25">
      <c r="A283" t="s">
        <v>105</v>
      </c>
      <c r="B283">
        <v>1</v>
      </c>
      <c r="C283" s="2">
        <v>100000</v>
      </c>
      <c r="D283" s="2" t="s">
        <v>390</v>
      </c>
      <c r="E283" s="1">
        <v>45476</v>
      </c>
      <c r="F283" s="2">
        <v>100000</v>
      </c>
    </row>
    <row r="284" spans="1:6" x14ac:dyDescent="0.25">
      <c r="A284" t="s">
        <v>105</v>
      </c>
      <c r="B284">
        <v>2</v>
      </c>
      <c r="C284" s="2">
        <v>1804698.37</v>
      </c>
      <c r="D284" s="2" t="s">
        <v>390</v>
      </c>
      <c r="E284" s="1">
        <v>45716</v>
      </c>
      <c r="F284" s="2">
        <v>1804698.37</v>
      </c>
    </row>
    <row r="285" spans="1:6" x14ac:dyDescent="0.25">
      <c r="A285" t="s">
        <v>106</v>
      </c>
      <c r="B285">
        <v>1</v>
      </c>
      <c r="C285" s="2">
        <v>90000</v>
      </c>
      <c r="D285" s="2" t="s">
        <v>391</v>
      </c>
      <c r="E285" s="1"/>
      <c r="F285" s="2"/>
    </row>
    <row r="286" spans="1:6" x14ac:dyDescent="0.25">
      <c r="A286" t="s">
        <v>106</v>
      </c>
      <c r="B286">
        <v>2</v>
      </c>
      <c r="C286" s="2">
        <v>90000</v>
      </c>
      <c r="D286" s="2" t="s">
        <v>391</v>
      </c>
      <c r="E286" s="1"/>
      <c r="F286" s="2"/>
    </row>
    <row r="287" spans="1:6" x14ac:dyDescent="0.25">
      <c r="A287" t="s">
        <v>393</v>
      </c>
      <c r="B287">
        <v>1</v>
      </c>
      <c r="C287" s="2">
        <v>600000</v>
      </c>
      <c r="D287" s="2" t="s">
        <v>391</v>
      </c>
      <c r="E287" s="1"/>
      <c r="F287" s="2"/>
    </row>
    <row r="288" spans="1:6" x14ac:dyDescent="0.25">
      <c r="A288" t="s">
        <v>393</v>
      </c>
      <c r="B288">
        <v>2</v>
      </c>
      <c r="C288" s="2">
        <v>600000</v>
      </c>
      <c r="D288" s="2" t="s">
        <v>391</v>
      </c>
      <c r="E288" s="1"/>
      <c r="F288" s="2"/>
    </row>
    <row r="289" spans="1:6" x14ac:dyDescent="0.25">
      <c r="A289" t="s">
        <v>394</v>
      </c>
      <c r="B289">
        <v>1</v>
      </c>
      <c r="C289" s="2">
        <v>408141.05</v>
      </c>
      <c r="D289" s="2" t="s">
        <v>391</v>
      </c>
      <c r="E289" s="1"/>
      <c r="F289" s="2"/>
    </row>
    <row r="290" spans="1:6" x14ac:dyDescent="0.25">
      <c r="A290" t="s">
        <v>394</v>
      </c>
      <c r="B290">
        <v>2</v>
      </c>
      <c r="C290" s="2">
        <v>408141.05</v>
      </c>
      <c r="D290" s="2" t="s">
        <v>391</v>
      </c>
      <c r="E290" s="1"/>
      <c r="F290" s="2"/>
    </row>
    <row r="291" spans="1:6" x14ac:dyDescent="0.25">
      <c r="A291" t="s">
        <v>394</v>
      </c>
      <c r="B291">
        <v>3</v>
      </c>
      <c r="C291" s="2">
        <v>408141.05</v>
      </c>
      <c r="D291" s="2" t="s">
        <v>391</v>
      </c>
      <c r="E291" s="1"/>
      <c r="F291" s="2"/>
    </row>
    <row r="292" spans="1:6" x14ac:dyDescent="0.25">
      <c r="A292" t="s">
        <v>108</v>
      </c>
      <c r="B292">
        <v>1</v>
      </c>
      <c r="C292" s="2">
        <v>5000000</v>
      </c>
      <c r="D292" s="2" t="s">
        <v>390</v>
      </c>
      <c r="E292" s="1">
        <v>44734</v>
      </c>
      <c r="F292" s="2">
        <v>5000000</v>
      </c>
    </row>
    <row r="293" spans="1:6" x14ac:dyDescent="0.25">
      <c r="A293" t="s">
        <v>108</v>
      </c>
      <c r="B293">
        <v>2</v>
      </c>
      <c r="C293" s="2">
        <v>326234.40000000002</v>
      </c>
      <c r="D293" s="2" t="s">
        <v>390</v>
      </c>
      <c r="E293" s="1">
        <v>45399</v>
      </c>
      <c r="F293" s="2">
        <v>326234.40000000002</v>
      </c>
    </row>
    <row r="294" spans="1:6" x14ac:dyDescent="0.25">
      <c r="A294" t="s">
        <v>109</v>
      </c>
      <c r="B294">
        <v>1</v>
      </c>
      <c r="C294" s="2">
        <v>300000</v>
      </c>
      <c r="D294" s="2" t="s">
        <v>390</v>
      </c>
      <c r="E294" s="1">
        <v>45021</v>
      </c>
      <c r="F294" s="2">
        <v>300000</v>
      </c>
    </row>
    <row r="295" spans="1:6" x14ac:dyDescent="0.25">
      <c r="A295" t="s">
        <v>109</v>
      </c>
      <c r="B295">
        <v>2</v>
      </c>
      <c r="C295" s="2">
        <v>1500000</v>
      </c>
      <c r="D295" s="2" t="s">
        <v>390</v>
      </c>
      <c r="E295" s="1">
        <v>45275</v>
      </c>
      <c r="F295" s="2">
        <v>1500000</v>
      </c>
    </row>
    <row r="296" spans="1:6" x14ac:dyDescent="0.25">
      <c r="A296" t="s">
        <v>109</v>
      </c>
      <c r="B296">
        <v>3</v>
      </c>
      <c r="C296" s="2">
        <v>700000</v>
      </c>
      <c r="D296" s="2" t="s">
        <v>390</v>
      </c>
      <c r="E296" s="1">
        <v>45399</v>
      </c>
      <c r="F296" s="2">
        <v>700000</v>
      </c>
    </row>
    <row r="297" spans="1:6" x14ac:dyDescent="0.25">
      <c r="A297" t="s">
        <v>109</v>
      </c>
      <c r="B297">
        <v>4</v>
      </c>
      <c r="C297" s="2">
        <v>1500000</v>
      </c>
      <c r="D297" s="2" t="s">
        <v>390</v>
      </c>
      <c r="E297" s="1">
        <v>45698</v>
      </c>
      <c r="F297" s="2">
        <v>1500000</v>
      </c>
    </row>
    <row r="298" spans="1:6" x14ac:dyDescent="0.25">
      <c r="A298" t="s">
        <v>110</v>
      </c>
      <c r="B298">
        <v>1</v>
      </c>
      <c r="C298" s="2">
        <v>100000</v>
      </c>
      <c r="D298" s="2" t="s">
        <v>390</v>
      </c>
      <c r="E298" s="1">
        <v>45020</v>
      </c>
      <c r="F298" s="2">
        <v>100000</v>
      </c>
    </row>
    <row r="299" spans="1:6" x14ac:dyDescent="0.25">
      <c r="A299" t="s">
        <v>110</v>
      </c>
      <c r="B299">
        <v>2</v>
      </c>
      <c r="C299" s="2">
        <v>1127500</v>
      </c>
      <c r="D299" s="2" t="s">
        <v>390</v>
      </c>
      <c r="E299" s="1">
        <v>45783</v>
      </c>
      <c r="F299" s="2">
        <v>1127500</v>
      </c>
    </row>
    <row r="300" spans="1:6" x14ac:dyDescent="0.25">
      <c r="A300" t="s">
        <v>110</v>
      </c>
      <c r="B300">
        <v>3</v>
      </c>
      <c r="C300" s="2">
        <v>1127500</v>
      </c>
      <c r="D300" s="2" t="s">
        <v>391</v>
      </c>
      <c r="E300" s="1"/>
      <c r="F300" s="2"/>
    </row>
    <row r="301" spans="1:6" x14ac:dyDescent="0.25">
      <c r="A301" t="s">
        <v>111</v>
      </c>
      <c r="B301">
        <v>1</v>
      </c>
      <c r="C301" s="2">
        <v>100000</v>
      </c>
      <c r="D301" s="2" t="s">
        <v>390</v>
      </c>
      <c r="E301" s="1">
        <v>45112</v>
      </c>
      <c r="F301" s="2">
        <v>100000</v>
      </c>
    </row>
    <row r="302" spans="1:6" x14ac:dyDescent="0.25">
      <c r="A302" t="s">
        <v>111</v>
      </c>
      <c r="B302">
        <v>2</v>
      </c>
      <c r="C302" s="2">
        <v>3040015.48</v>
      </c>
      <c r="D302" s="2" t="s">
        <v>391</v>
      </c>
      <c r="E302" s="1"/>
      <c r="F302" s="2"/>
    </row>
    <row r="303" spans="1:6" x14ac:dyDescent="0.25">
      <c r="A303" t="s">
        <v>111</v>
      </c>
      <c r="B303">
        <v>3</v>
      </c>
      <c r="C303" s="2">
        <v>3040015.48</v>
      </c>
      <c r="D303" s="2" t="s">
        <v>391</v>
      </c>
      <c r="E303" s="1"/>
      <c r="F303" s="2"/>
    </row>
    <row r="304" spans="1:6" x14ac:dyDescent="0.25">
      <c r="A304" t="s">
        <v>111</v>
      </c>
      <c r="B304">
        <v>4</v>
      </c>
      <c r="C304" s="2">
        <v>3040015.48</v>
      </c>
      <c r="D304" s="2" t="s">
        <v>391</v>
      </c>
      <c r="E304" s="1"/>
      <c r="F304" s="2"/>
    </row>
    <row r="305" spans="1:6" x14ac:dyDescent="0.25">
      <c r="A305" t="s">
        <v>113</v>
      </c>
      <c r="B305">
        <v>1</v>
      </c>
      <c r="C305" s="2">
        <v>300000</v>
      </c>
      <c r="D305" s="2" t="s">
        <v>390</v>
      </c>
      <c r="E305" s="1">
        <v>45016</v>
      </c>
      <c r="F305" s="2">
        <v>300000</v>
      </c>
    </row>
    <row r="306" spans="1:6" x14ac:dyDescent="0.25">
      <c r="A306" t="s">
        <v>113</v>
      </c>
      <c r="B306">
        <v>2</v>
      </c>
      <c r="C306" s="2">
        <v>1123192.3999999999</v>
      </c>
      <c r="D306" s="2" t="s">
        <v>390</v>
      </c>
      <c r="E306" s="1">
        <v>45646</v>
      </c>
      <c r="F306" s="2">
        <v>1123192.3999999999</v>
      </c>
    </row>
    <row r="307" spans="1:6" x14ac:dyDescent="0.25">
      <c r="A307" t="s">
        <v>113</v>
      </c>
      <c r="B307">
        <v>3</v>
      </c>
      <c r="C307" s="2">
        <v>823192.39</v>
      </c>
      <c r="D307" s="2" t="s">
        <v>391</v>
      </c>
      <c r="E307" s="1"/>
      <c r="F307" s="2"/>
    </row>
    <row r="308" spans="1:6" x14ac:dyDescent="0.25">
      <c r="A308" t="s">
        <v>395</v>
      </c>
      <c r="B308">
        <v>1</v>
      </c>
      <c r="C308" s="2">
        <v>298560</v>
      </c>
      <c r="D308" s="2" t="s">
        <v>390</v>
      </c>
      <c r="E308" s="1">
        <v>45056</v>
      </c>
      <c r="F308" s="2">
        <v>298560</v>
      </c>
    </row>
    <row r="309" spans="1:6" x14ac:dyDescent="0.25">
      <c r="A309" t="s">
        <v>395</v>
      </c>
      <c r="B309">
        <v>2</v>
      </c>
      <c r="C309" s="2">
        <v>5224438.41</v>
      </c>
      <c r="D309" s="2" t="s">
        <v>390</v>
      </c>
      <c r="E309" s="1">
        <v>45210</v>
      </c>
      <c r="F309" s="2">
        <v>5224438.41</v>
      </c>
    </row>
    <row r="310" spans="1:6" x14ac:dyDescent="0.25">
      <c r="A310" t="s">
        <v>395</v>
      </c>
      <c r="B310">
        <v>3</v>
      </c>
      <c r="C310" s="2">
        <v>3390936.08</v>
      </c>
      <c r="D310" s="2" t="s">
        <v>391</v>
      </c>
      <c r="E310" s="1"/>
      <c r="F310" s="2"/>
    </row>
    <row r="311" spans="1:6" x14ac:dyDescent="0.25">
      <c r="A311" t="s">
        <v>395</v>
      </c>
      <c r="B311">
        <v>4</v>
      </c>
      <c r="C311" s="2">
        <v>398445.69</v>
      </c>
      <c r="D311" s="2" t="s">
        <v>391</v>
      </c>
      <c r="E311" s="1"/>
      <c r="F311" s="2"/>
    </row>
    <row r="312" spans="1:6" x14ac:dyDescent="0.25">
      <c r="A312" t="s">
        <v>396</v>
      </c>
      <c r="B312">
        <v>1</v>
      </c>
      <c r="C312" s="2">
        <v>500000</v>
      </c>
      <c r="D312" s="2" t="s">
        <v>390</v>
      </c>
      <c r="E312" s="1">
        <v>44741</v>
      </c>
      <c r="F312" s="2">
        <v>500000</v>
      </c>
    </row>
    <row r="313" spans="1:6" x14ac:dyDescent="0.25">
      <c r="A313" t="s">
        <v>396</v>
      </c>
      <c r="B313">
        <v>2</v>
      </c>
      <c r="C313" s="2">
        <v>1169794.58</v>
      </c>
      <c r="D313" s="2" t="s">
        <v>390</v>
      </c>
      <c r="E313" s="1">
        <v>45399</v>
      </c>
      <c r="F313" s="2">
        <v>1169794.58</v>
      </c>
    </row>
    <row r="314" spans="1:6" x14ac:dyDescent="0.25">
      <c r="A314" t="s">
        <v>115</v>
      </c>
      <c r="B314">
        <v>1</v>
      </c>
      <c r="C314" s="2">
        <v>500000</v>
      </c>
      <c r="D314" s="2" t="s">
        <v>390</v>
      </c>
      <c r="E314" s="1">
        <v>44741</v>
      </c>
      <c r="F314" s="2">
        <v>500000</v>
      </c>
    </row>
    <row r="315" spans="1:6" x14ac:dyDescent="0.25">
      <c r="A315" t="s">
        <v>115</v>
      </c>
      <c r="B315">
        <v>2</v>
      </c>
      <c r="C315" s="2">
        <v>1628510.46</v>
      </c>
      <c r="D315" s="2" t="s">
        <v>390</v>
      </c>
      <c r="E315" s="1">
        <v>45399</v>
      </c>
      <c r="F315" s="2">
        <v>1628510.46</v>
      </c>
    </row>
    <row r="316" spans="1:6" x14ac:dyDescent="0.25">
      <c r="A316" t="s">
        <v>115</v>
      </c>
      <c r="B316">
        <v>3</v>
      </c>
      <c r="C316" s="2">
        <v>1628510.46</v>
      </c>
      <c r="D316" s="2" t="s">
        <v>391</v>
      </c>
      <c r="E316" s="1"/>
      <c r="F316" s="2"/>
    </row>
    <row r="317" spans="1:6" x14ac:dyDescent="0.25">
      <c r="A317" t="s">
        <v>116</v>
      </c>
      <c r="B317">
        <v>1</v>
      </c>
      <c r="C317" s="2">
        <v>100000</v>
      </c>
      <c r="D317" s="2" t="s">
        <v>390</v>
      </c>
      <c r="E317" s="1">
        <v>45477</v>
      </c>
      <c r="F317" s="2">
        <v>100000</v>
      </c>
    </row>
    <row r="318" spans="1:6" x14ac:dyDescent="0.25">
      <c r="A318" t="s">
        <v>116</v>
      </c>
      <c r="B318">
        <v>2</v>
      </c>
      <c r="C318" s="2">
        <v>667002.92000000004</v>
      </c>
      <c r="D318" s="2" t="s">
        <v>390</v>
      </c>
      <c r="E318" s="1">
        <v>45902</v>
      </c>
      <c r="F318" s="2">
        <v>667002.92000000004</v>
      </c>
    </row>
    <row r="319" spans="1:6" x14ac:dyDescent="0.25">
      <c r="A319" t="s">
        <v>118</v>
      </c>
      <c r="B319">
        <v>1</v>
      </c>
      <c r="C319" s="2">
        <v>909659.54</v>
      </c>
      <c r="D319" s="2" t="s">
        <v>390</v>
      </c>
      <c r="E319" s="1">
        <v>43287</v>
      </c>
      <c r="F319" s="2">
        <v>909659.54</v>
      </c>
    </row>
    <row r="320" spans="1:6" x14ac:dyDescent="0.25">
      <c r="A320" t="s">
        <v>118</v>
      </c>
      <c r="B320">
        <v>2</v>
      </c>
      <c r="C320" s="2">
        <v>1212879.4099999999</v>
      </c>
      <c r="D320" s="2" t="s">
        <v>390</v>
      </c>
      <c r="E320" s="1">
        <v>43880</v>
      </c>
      <c r="F320" s="2">
        <v>1212879.4099999999</v>
      </c>
    </row>
    <row r="321" spans="1:6" x14ac:dyDescent="0.25">
      <c r="A321" t="s">
        <v>118</v>
      </c>
      <c r="B321">
        <v>3</v>
      </c>
      <c r="C321" s="2">
        <v>909659.54</v>
      </c>
      <c r="D321" s="2" t="s">
        <v>390</v>
      </c>
      <c r="E321" s="1">
        <v>45411</v>
      </c>
      <c r="F321" s="2">
        <v>909659.54</v>
      </c>
    </row>
    <row r="322" spans="1:6" x14ac:dyDescent="0.25">
      <c r="A322" t="s">
        <v>119</v>
      </c>
      <c r="B322">
        <v>1</v>
      </c>
      <c r="C322" s="2">
        <v>600000</v>
      </c>
      <c r="D322" s="2" t="s">
        <v>390</v>
      </c>
      <c r="E322" s="1">
        <v>43287</v>
      </c>
      <c r="F322" s="2">
        <v>600000</v>
      </c>
    </row>
    <row r="323" spans="1:6" x14ac:dyDescent="0.25">
      <c r="A323" t="s">
        <v>119</v>
      </c>
      <c r="B323">
        <v>2</v>
      </c>
      <c r="C323" s="2">
        <v>700000</v>
      </c>
      <c r="D323" s="2" t="s">
        <v>390</v>
      </c>
      <c r="E323" s="1">
        <v>43873</v>
      </c>
      <c r="F323" s="2">
        <v>700000</v>
      </c>
    </row>
    <row r="324" spans="1:6" x14ac:dyDescent="0.25">
      <c r="A324" t="s">
        <v>119</v>
      </c>
      <c r="B324">
        <v>3</v>
      </c>
      <c r="C324" s="2">
        <v>700000</v>
      </c>
      <c r="D324" s="2" t="s">
        <v>390</v>
      </c>
      <c r="E324" s="1">
        <v>44608</v>
      </c>
      <c r="F324" s="2">
        <v>700000</v>
      </c>
    </row>
    <row r="325" spans="1:6" x14ac:dyDescent="0.25">
      <c r="A325" t="s">
        <v>120</v>
      </c>
      <c r="B325">
        <v>1</v>
      </c>
      <c r="C325" s="2">
        <v>231523.17</v>
      </c>
      <c r="D325" s="2" t="s">
        <v>390</v>
      </c>
      <c r="E325" s="1">
        <v>44740</v>
      </c>
      <c r="F325" s="2">
        <v>231523.17</v>
      </c>
    </row>
    <row r="326" spans="1:6" x14ac:dyDescent="0.25">
      <c r="A326" t="s">
        <v>120</v>
      </c>
      <c r="B326">
        <v>2</v>
      </c>
      <c r="C326" s="2">
        <v>168476.83</v>
      </c>
      <c r="D326" s="2" t="s">
        <v>390</v>
      </c>
      <c r="E326" s="1">
        <v>45819</v>
      </c>
      <c r="F326" s="2">
        <v>168476.83</v>
      </c>
    </row>
    <row r="327" spans="1:6" x14ac:dyDescent="0.25">
      <c r="A327" t="s">
        <v>121</v>
      </c>
      <c r="B327">
        <v>1</v>
      </c>
      <c r="C327" s="2">
        <v>660340</v>
      </c>
      <c r="D327" s="2" t="s">
        <v>390</v>
      </c>
      <c r="E327" s="1">
        <v>44705</v>
      </c>
      <c r="F327" s="2">
        <v>660340</v>
      </c>
    </row>
    <row r="328" spans="1:6" x14ac:dyDescent="0.25">
      <c r="A328" t="s">
        <v>121</v>
      </c>
      <c r="B328">
        <v>2</v>
      </c>
      <c r="C328" s="2">
        <v>660340</v>
      </c>
      <c r="D328" s="2" t="s">
        <v>390</v>
      </c>
      <c r="E328" s="1">
        <v>45287</v>
      </c>
      <c r="F328" s="2">
        <v>660340</v>
      </c>
    </row>
    <row r="329" spans="1:6" x14ac:dyDescent="0.25">
      <c r="A329" t="s">
        <v>121</v>
      </c>
      <c r="B329">
        <v>3</v>
      </c>
      <c r="C329" s="2">
        <v>660339.94999999995</v>
      </c>
      <c r="D329" s="2" t="s">
        <v>390</v>
      </c>
      <c r="E329" s="1">
        <v>45845</v>
      </c>
      <c r="F329" s="2">
        <v>660339.94999999995</v>
      </c>
    </row>
    <row r="330" spans="1:6" x14ac:dyDescent="0.25">
      <c r="A330" t="s">
        <v>122</v>
      </c>
      <c r="B330">
        <v>1</v>
      </c>
      <c r="C330" s="2">
        <v>171733.81</v>
      </c>
      <c r="D330" s="2" t="s">
        <v>390</v>
      </c>
      <c r="E330" s="1">
        <v>44740</v>
      </c>
      <c r="F330" s="2">
        <v>171733.81</v>
      </c>
    </row>
    <row r="331" spans="1:6" x14ac:dyDescent="0.25">
      <c r="A331" t="s">
        <v>122</v>
      </c>
      <c r="B331">
        <v>2</v>
      </c>
      <c r="C331" s="2">
        <v>424041.6</v>
      </c>
      <c r="D331" s="2" t="s">
        <v>390</v>
      </c>
      <c r="E331" s="1">
        <v>45826</v>
      </c>
      <c r="F331" s="2">
        <v>424041.6</v>
      </c>
    </row>
    <row r="332" spans="1:6" x14ac:dyDescent="0.25">
      <c r="A332" t="s">
        <v>122</v>
      </c>
      <c r="B332">
        <v>3</v>
      </c>
      <c r="C332" s="2">
        <v>404224.59</v>
      </c>
      <c r="D332" s="2" t="s">
        <v>391</v>
      </c>
      <c r="E332" s="1"/>
      <c r="F332" s="2"/>
    </row>
    <row r="333" spans="1:6" x14ac:dyDescent="0.25">
      <c r="A333" t="s">
        <v>123</v>
      </c>
      <c r="B333">
        <v>1</v>
      </c>
      <c r="C333" s="2">
        <v>52653.37</v>
      </c>
      <c r="D333" s="2" t="s">
        <v>390</v>
      </c>
      <c r="E333" s="1">
        <v>44742</v>
      </c>
      <c r="F333" s="2">
        <v>52653.37</v>
      </c>
    </row>
    <row r="334" spans="1:6" x14ac:dyDescent="0.25">
      <c r="A334" t="s">
        <v>123</v>
      </c>
      <c r="B334">
        <v>2</v>
      </c>
      <c r="C334" s="2">
        <v>55766.7</v>
      </c>
      <c r="D334" s="2" t="s">
        <v>390</v>
      </c>
      <c r="E334" s="1">
        <v>45278</v>
      </c>
      <c r="F334" s="2">
        <v>55766.7</v>
      </c>
    </row>
    <row r="335" spans="1:6" x14ac:dyDescent="0.25">
      <c r="A335" t="s">
        <v>123</v>
      </c>
      <c r="B335">
        <v>3</v>
      </c>
      <c r="C335" s="2">
        <v>71029.91</v>
      </c>
      <c r="D335" s="2" t="s">
        <v>390</v>
      </c>
      <c r="E335" s="1">
        <v>45832</v>
      </c>
      <c r="F335" s="2">
        <v>71029.91</v>
      </c>
    </row>
    <row r="336" spans="1:6" x14ac:dyDescent="0.25">
      <c r="A336" t="s">
        <v>123</v>
      </c>
      <c r="B336">
        <v>4</v>
      </c>
      <c r="C336" s="2">
        <v>70549.42</v>
      </c>
      <c r="D336" s="2" t="s">
        <v>391</v>
      </c>
      <c r="E336" s="1"/>
      <c r="F336" s="2"/>
    </row>
    <row r="337" spans="1:6" x14ac:dyDescent="0.25">
      <c r="A337" t="s">
        <v>124</v>
      </c>
      <c r="B337">
        <v>1</v>
      </c>
      <c r="C337" s="2">
        <v>1456486.34</v>
      </c>
      <c r="D337" s="2" t="s">
        <v>390</v>
      </c>
      <c r="E337" s="1">
        <v>44743</v>
      </c>
      <c r="F337" s="2">
        <v>1456486.34</v>
      </c>
    </row>
    <row r="338" spans="1:6" x14ac:dyDescent="0.25">
      <c r="A338" t="s">
        <v>124</v>
      </c>
      <c r="B338">
        <v>2</v>
      </c>
      <c r="C338" s="2">
        <v>1456486.33</v>
      </c>
      <c r="D338" s="2" t="s">
        <v>390</v>
      </c>
      <c r="E338" s="1">
        <v>45411</v>
      </c>
      <c r="F338" s="2">
        <v>1456486.33</v>
      </c>
    </row>
    <row r="339" spans="1:6" x14ac:dyDescent="0.25">
      <c r="A339" t="s">
        <v>124</v>
      </c>
      <c r="B339">
        <v>3</v>
      </c>
      <c r="C339" s="2">
        <v>1456486.33</v>
      </c>
      <c r="D339" s="2" t="s">
        <v>390</v>
      </c>
      <c r="E339" s="1">
        <v>45806</v>
      </c>
      <c r="F339" s="2">
        <v>1456486.33</v>
      </c>
    </row>
    <row r="340" spans="1:6" x14ac:dyDescent="0.25">
      <c r="A340" t="s">
        <v>124</v>
      </c>
      <c r="B340">
        <v>4</v>
      </c>
      <c r="C340" s="2">
        <v>1456486.33</v>
      </c>
      <c r="D340" s="2" t="s">
        <v>391</v>
      </c>
      <c r="E340" s="1"/>
      <c r="F340" s="2"/>
    </row>
    <row r="341" spans="1:6" x14ac:dyDescent="0.25">
      <c r="A341" t="s">
        <v>125</v>
      </c>
      <c r="B341">
        <v>1</v>
      </c>
      <c r="C341" s="2">
        <v>300000</v>
      </c>
      <c r="D341" s="2" t="s">
        <v>390</v>
      </c>
      <c r="E341" s="1">
        <v>45807</v>
      </c>
      <c r="F341" s="2">
        <v>300000</v>
      </c>
    </row>
    <row r="342" spans="1:6" x14ac:dyDescent="0.25">
      <c r="A342" t="s">
        <v>125</v>
      </c>
      <c r="B342">
        <v>2</v>
      </c>
      <c r="C342" s="2">
        <v>778770.28</v>
      </c>
      <c r="D342" s="2" t="s">
        <v>391</v>
      </c>
      <c r="E342" s="1"/>
      <c r="F342" s="2"/>
    </row>
    <row r="343" spans="1:6" x14ac:dyDescent="0.25">
      <c r="A343" t="s">
        <v>125</v>
      </c>
      <c r="B343">
        <v>3</v>
      </c>
      <c r="C343" s="2">
        <v>778770.28</v>
      </c>
      <c r="D343" s="2" t="s">
        <v>391</v>
      </c>
      <c r="E343" s="1"/>
      <c r="F343" s="2"/>
    </row>
    <row r="344" spans="1:6" x14ac:dyDescent="0.25">
      <c r="A344" t="s">
        <v>127</v>
      </c>
      <c r="B344">
        <v>1</v>
      </c>
      <c r="C344" s="2">
        <v>850000</v>
      </c>
      <c r="D344" s="2" t="s">
        <v>390</v>
      </c>
      <c r="E344" s="1">
        <v>44740</v>
      </c>
      <c r="F344" s="2">
        <v>850000</v>
      </c>
    </row>
    <row r="345" spans="1:6" x14ac:dyDescent="0.25">
      <c r="A345" t="s">
        <v>127</v>
      </c>
      <c r="B345">
        <v>2</v>
      </c>
      <c r="C345" s="2">
        <v>850000</v>
      </c>
      <c r="D345" s="2" t="s">
        <v>390</v>
      </c>
      <c r="E345" s="1">
        <v>45288</v>
      </c>
      <c r="F345" s="2">
        <v>850000</v>
      </c>
    </row>
    <row r="346" spans="1:6" x14ac:dyDescent="0.25">
      <c r="A346" t="s">
        <v>127</v>
      </c>
      <c r="B346">
        <v>3</v>
      </c>
      <c r="C346" s="2">
        <v>850000</v>
      </c>
      <c r="D346" s="2" t="s">
        <v>390</v>
      </c>
      <c r="E346" s="1">
        <v>45979</v>
      </c>
      <c r="F346" s="2">
        <v>850000</v>
      </c>
    </row>
    <row r="347" spans="1:6" x14ac:dyDescent="0.25">
      <c r="A347" t="s">
        <v>127</v>
      </c>
      <c r="B347">
        <v>4</v>
      </c>
      <c r="C347" s="2">
        <v>850000</v>
      </c>
      <c r="D347" s="2" t="s">
        <v>391</v>
      </c>
      <c r="E347" s="1"/>
      <c r="F347" s="2"/>
    </row>
    <row r="348" spans="1:6" x14ac:dyDescent="0.25">
      <c r="A348" t="s">
        <v>129</v>
      </c>
      <c r="B348">
        <v>1</v>
      </c>
      <c r="C348" s="2">
        <v>132002.23000000001</v>
      </c>
      <c r="D348" s="2" t="s">
        <v>390</v>
      </c>
      <c r="E348" s="1">
        <v>44720</v>
      </c>
      <c r="F348" s="2">
        <v>132002.23000000001</v>
      </c>
    </row>
    <row r="349" spans="1:6" x14ac:dyDescent="0.25">
      <c r="A349" t="s">
        <v>129</v>
      </c>
      <c r="B349">
        <v>2</v>
      </c>
      <c r="C349" s="2">
        <v>264004.45</v>
      </c>
      <c r="D349" s="2" t="s">
        <v>390</v>
      </c>
      <c r="E349" s="1">
        <v>45274</v>
      </c>
      <c r="F349" s="2">
        <v>264004.45</v>
      </c>
    </row>
    <row r="350" spans="1:6" x14ac:dyDescent="0.25">
      <c r="A350" t="s">
        <v>130</v>
      </c>
      <c r="B350">
        <v>1</v>
      </c>
      <c r="C350" s="2">
        <v>121178.3</v>
      </c>
      <c r="D350" s="2" t="s">
        <v>390</v>
      </c>
      <c r="E350" s="1">
        <v>44742</v>
      </c>
      <c r="F350" s="2">
        <v>121178.3</v>
      </c>
    </row>
    <row r="351" spans="1:6" x14ac:dyDescent="0.25">
      <c r="A351" t="s">
        <v>130</v>
      </c>
      <c r="B351">
        <v>2</v>
      </c>
      <c r="C351" s="2">
        <v>121178.3</v>
      </c>
      <c r="D351" s="2" t="s">
        <v>390</v>
      </c>
      <c r="E351" s="1">
        <v>45282</v>
      </c>
      <c r="F351" s="2">
        <v>121178.3</v>
      </c>
    </row>
    <row r="352" spans="1:6" x14ac:dyDescent="0.25">
      <c r="A352" t="s">
        <v>130</v>
      </c>
      <c r="B352">
        <v>3</v>
      </c>
      <c r="C352" s="2">
        <v>121178.3</v>
      </c>
      <c r="D352" s="2" t="s">
        <v>391</v>
      </c>
      <c r="E352" s="1"/>
      <c r="F352" s="2"/>
    </row>
    <row r="353" spans="1:6" x14ac:dyDescent="0.25">
      <c r="A353" t="s">
        <v>131</v>
      </c>
      <c r="B353">
        <v>1</v>
      </c>
      <c r="C353" s="2">
        <v>238915.14</v>
      </c>
      <c r="D353" s="2" t="s">
        <v>390</v>
      </c>
      <c r="E353" s="1">
        <v>45009</v>
      </c>
      <c r="F353" s="2">
        <v>238915.14</v>
      </c>
    </row>
    <row r="354" spans="1:6" x14ac:dyDescent="0.25">
      <c r="A354" t="s">
        <v>131</v>
      </c>
      <c r="B354">
        <v>2</v>
      </c>
      <c r="C354" s="2">
        <v>238915.14</v>
      </c>
      <c r="D354" s="2" t="s">
        <v>390</v>
      </c>
      <c r="E354" s="1">
        <v>45728</v>
      </c>
      <c r="F354" s="2">
        <v>238915.14</v>
      </c>
    </row>
    <row r="355" spans="1:6" x14ac:dyDescent="0.25">
      <c r="A355" t="s">
        <v>131</v>
      </c>
      <c r="B355">
        <v>3</v>
      </c>
      <c r="C355" s="2">
        <v>238915.14</v>
      </c>
      <c r="D355" s="2" t="s">
        <v>391</v>
      </c>
      <c r="E355" s="1"/>
      <c r="F355" s="2"/>
    </row>
    <row r="356" spans="1:6" x14ac:dyDescent="0.25">
      <c r="A356" t="s">
        <v>133</v>
      </c>
      <c r="B356">
        <v>1</v>
      </c>
      <c r="C356" s="2">
        <v>157194.54</v>
      </c>
      <c r="D356" s="2" t="s">
        <v>390</v>
      </c>
      <c r="E356" s="1">
        <v>44601</v>
      </c>
      <c r="F356" s="2">
        <v>157194.54</v>
      </c>
    </row>
    <row r="357" spans="1:6" x14ac:dyDescent="0.25">
      <c r="A357" t="s">
        <v>133</v>
      </c>
      <c r="B357">
        <v>2</v>
      </c>
      <c r="C357" s="2">
        <v>157194.54</v>
      </c>
      <c r="D357" s="2" t="s">
        <v>390</v>
      </c>
      <c r="E357" s="1">
        <v>45050</v>
      </c>
      <c r="F357" s="2">
        <v>157194.54</v>
      </c>
    </row>
    <row r="358" spans="1:6" x14ac:dyDescent="0.25">
      <c r="A358" t="s">
        <v>133</v>
      </c>
      <c r="B358">
        <v>3</v>
      </c>
      <c r="C358" s="2">
        <v>157194.53</v>
      </c>
      <c r="D358" s="2" t="s">
        <v>390</v>
      </c>
      <c r="E358" s="1">
        <v>45148</v>
      </c>
      <c r="F358" s="2">
        <v>157194.53</v>
      </c>
    </row>
    <row r="359" spans="1:6" x14ac:dyDescent="0.25">
      <c r="A359" t="s">
        <v>397</v>
      </c>
      <c r="B359">
        <v>1</v>
      </c>
      <c r="C359" s="2">
        <v>131328.17000000001</v>
      </c>
      <c r="D359" s="2" t="s">
        <v>390</v>
      </c>
      <c r="E359" s="1">
        <v>45149</v>
      </c>
      <c r="F359" s="2">
        <v>131328.17000000001</v>
      </c>
    </row>
    <row r="360" spans="1:6" x14ac:dyDescent="0.25">
      <c r="A360" t="s">
        <v>397</v>
      </c>
      <c r="B360">
        <v>2</v>
      </c>
      <c r="C360" s="2">
        <v>168671.83</v>
      </c>
      <c r="D360" s="2" t="s">
        <v>390</v>
      </c>
      <c r="E360" s="1">
        <v>45736</v>
      </c>
      <c r="F360" s="2">
        <v>168671.83</v>
      </c>
    </row>
    <row r="361" spans="1:6" x14ac:dyDescent="0.25">
      <c r="A361" t="s">
        <v>398</v>
      </c>
      <c r="B361">
        <v>1</v>
      </c>
      <c r="C361" s="2">
        <v>2526081.46</v>
      </c>
      <c r="D361" s="2" t="s">
        <v>390</v>
      </c>
      <c r="E361" s="1">
        <v>45420</v>
      </c>
      <c r="F361" s="2">
        <v>2526081.46</v>
      </c>
    </row>
    <row r="362" spans="1:6" x14ac:dyDescent="0.25">
      <c r="A362" t="s">
        <v>398</v>
      </c>
      <c r="B362">
        <v>2</v>
      </c>
      <c r="C362" s="2">
        <v>2526081.46</v>
      </c>
      <c r="D362" s="2" t="s">
        <v>390</v>
      </c>
      <c r="E362" s="1">
        <v>45735</v>
      </c>
      <c r="F362" s="2">
        <v>2526081.46</v>
      </c>
    </row>
    <row r="363" spans="1:6" x14ac:dyDescent="0.25">
      <c r="A363" t="s">
        <v>398</v>
      </c>
      <c r="B363">
        <v>3</v>
      </c>
      <c r="C363" s="2">
        <v>2526081.46</v>
      </c>
      <c r="D363" s="2" t="s">
        <v>391</v>
      </c>
      <c r="E363" s="1"/>
      <c r="F363" s="2"/>
    </row>
    <row r="364" spans="1:6" x14ac:dyDescent="0.25">
      <c r="A364" t="s">
        <v>135</v>
      </c>
      <c r="B364">
        <v>1</v>
      </c>
      <c r="C364" s="2">
        <v>350000</v>
      </c>
      <c r="D364" s="2" t="s">
        <v>390</v>
      </c>
      <c r="E364" s="1">
        <v>44734</v>
      </c>
      <c r="F364" s="2">
        <v>350000</v>
      </c>
    </row>
    <row r="365" spans="1:6" x14ac:dyDescent="0.25">
      <c r="A365" t="s">
        <v>135</v>
      </c>
      <c r="B365">
        <v>2</v>
      </c>
      <c r="C365" s="2">
        <v>350000</v>
      </c>
      <c r="D365" s="2" t="s">
        <v>390</v>
      </c>
      <c r="E365" s="1">
        <v>45142</v>
      </c>
      <c r="F365" s="2">
        <v>350000</v>
      </c>
    </row>
    <row r="366" spans="1:6" x14ac:dyDescent="0.25">
      <c r="A366" t="s">
        <v>136</v>
      </c>
      <c r="B366">
        <v>1</v>
      </c>
      <c r="C366" s="2">
        <v>100000</v>
      </c>
      <c r="D366" s="2" t="s">
        <v>390</v>
      </c>
      <c r="E366" s="1">
        <v>45135</v>
      </c>
      <c r="F366" s="2">
        <v>100000</v>
      </c>
    </row>
    <row r="367" spans="1:6" x14ac:dyDescent="0.25">
      <c r="A367" t="s">
        <v>136</v>
      </c>
      <c r="B367">
        <v>2</v>
      </c>
      <c r="C367" s="2">
        <v>100000</v>
      </c>
      <c r="D367" s="2" t="s">
        <v>390</v>
      </c>
      <c r="E367" s="1">
        <v>45419</v>
      </c>
      <c r="F367" s="2">
        <v>100000</v>
      </c>
    </row>
    <row r="368" spans="1:6" x14ac:dyDescent="0.25">
      <c r="A368" t="s">
        <v>137</v>
      </c>
      <c r="B368">
        <v>1</v>
      </c>
      <c r="C368" s="2">
        <v>100000</v>
      </c>
      <c r="D368" s="2" t="s">
        <v>390</v>
      </c>
      <c r="E368" s="1">
        <v>45475</v>
      </c>
      <c r="F368" s="2">
        <v>100000</v>
      </c>
    </row>
    <row r="369" spans="1:6" x14ac:dyDescent="0.25">
      <c r="A369" t="s">
        <v>137</v>
      </c>
      <c r="B369">
        <v>2</v>
      </c>
      <c r="C369" s="2">
        <v>1906059.42</v>
      </c>
      <c r="D369" s="2" t="s">
        <v>391</v>
      </c>
      <c r="E369" s="1"/>
      <c r="F369" s="2"/>
    </row>
    <row r="370" spans="1:6" x14ac:dyDescent="0.25">
      <c r="A370" t="s">
        <v>139</v>
      </c>
      <c r="B370">
        <v>1</v>
      </c>
      <c r="C370" s="2">
        <v>4416937.01</v>
      </c>
      <c r="D370" s="2" t="s">
        <v>390</v>
      </c>
      <c r="E370" s="1">
        <v>45148</v>
      </c>
      <c r="F370" s="2">
        <v>4416937.01</v>
      </c>
    </row>
    <row r="371" spans="1:6" x14ac:dyDescent="0.25">
      <c r="A371" t="s">
        <v>139</v>
      </c>
      <c r="B371">
        <v>2</v>
      </c>
      <c r="C371" s="2">
        <v>4416937.01</v>
      </c>
      <c r="D371" s="2" t="s">
        <v>390</v>
      </c>
      <c r="E371" s="1">
        <v>45148</v>
      </c>
      <c r="F371" s="2">
        <v>4416937.01</v>
      </c>
    </row>
    <row r="372" spans="1:6" x14ac:dyDescent="0.25">
      <c r="A372" t="s">
        <v>139</v>
      </c>
      <c r="B372">
        <v>3</v>
      </c>
      <c r="C372" s="2">
        <v>4416937</v>
      </c>
      <c r="D372" s="2" t="s">
        <v>390</v>
      </c>
      <c r="E372" s="1">
        <v>45341</v>
      </c>
      <c r="F372" s="2">
        <v>4416937</v>
      </c>
    </row>
    <row r="373" spans="1:6" x14ac:dyDescent="0.25">
      <c r="A373" t="s">
        <v>139</v>
      </c>
      <c r="B373">
        <v>4</v>
      </c>
      <c r="C373" s="2">
        <v>4416937</v>
      </c>
      <c r="D373" s="2" t="s">
        <v>390</v>
      </c>
      <c r="E373" s="1">
        <v>45698</v>
      </c>
      <c r="F373" s="2">
        <v>4416937</v>
      </c>
    </row>
    <row r="374" spans="1:6" x14ac:dyDescent="0.25">
      <c r="A374" t="s">
        <v>141</v>
      </c>
      <c r="B374">
        <v>1</v>
      </c>
      <c r="C374" s="2">
        <v>946799.57</v>
      </c>
      <c r="D374" s="2" t="s">
        <v>390</v>
      </c>
      <c r="E374" s="1">
        <v>44741</v>
      </c>
      <c r="F374" s="2">
        <v>946799.57</v>
      </c>
    </row>
    <row r="375" spans="1:6" x14ac:dyDescent="0.25">
      <c r="A375" t="s">
        <v>141</v>
      </c>
      <c r="B375">
        <v>2</v>
      </c>
      <c r="C375" s="2">
        <v>976007.51</v>
      </c>
      <c r="D375" s="2" t="s">
        <v>390</v>
      </c>
      <c r="E375" s="1">
        <v>45043</v>
      </c>
      <c r="F375" s="2">
        <v>976007.51</v>
      </c>
    </row>
    <row r="376" spans="1:6" x14ac:dyDescent="0.25">
      <c r="A376" t="s">
        <v>141</v>
      </c>
      <c r="B376">
        <v>3</v>
      </c>
      <c r="C376" s="2">
        <v>976007.51</v>
      </c>
      <c r="D376" s="2" t="s">
        <v>390</v>
      </c>
      <c r="E376" s="1">
        <v>45783</v>
      </c>
      <c r="F376" s="2">
        <v>976007.51</v>
      </c>
    </row>
    <row r="377" spans="1:6" x14ac:dyDescent="0.25">
      <c r="A377" t="s">
        <v>141</v>
      </c>
      <c r="B377">
        <v>4</v>
      </c>
      <c r="C377" s="2">
        <v>259199.03</v>
      </c>
      <c r="D377" s="2" t="s">
        <v>391</v>
      </c>
      <c r="E377" s="1"/>
      <c r="F377" s="2"/>
    </row>
    <row r="378" spans="1:6" x14ac:dyDescent="0.25">
      <c r="A378" t="s">
        <v>142</v>
      </c>
      <c r="B378">
        <v>1</v>
      </c>
      <c r="C378" s="2">
        <v>100000</v>
      </c>
      <c r="D378" s="2" t="s">
        <v>390</v>
      </c>
      <c r="E378" s="1">
        <v>45478</v>
      </c>
      <c r="F378" s="2">
        <v>100000</v>
      </c>
    </row>
    <row r="379" spans="1:6" x14ac:dyDescent="0.25">
      <c r="A379" t="s">
        <v>142</v>
      </c>
      <c r="B379">
        <v>2</v>
      </c>
      <c r="C379" s="2">
        <v>1875000</v>
      </c>
      <c r="D379" s="2" t="s">
        <v>390</v>
      </c>
      <c r="E379" s="1">
        <v>45869</v>
      </c>
      <c r="F379" s="2">
        <v>1875000</v>
      </c>
    </row>
    <row r="380" spans="1:6" x14ac:dyDescent="0.25">
      <c r="A380" t="s">
        <v>142</v>
      </c>
      <c r="B380">
        <v>3</v>
      </c>
      <c r="C380" s="2">
        <v>1525000</v>
      </c>
      <c r="D380" s="2" t="s">
        <v>391</v>
      </c>
      <c r="E380" s="1"/>
      <c r="F380" s="2"/>
    </row>
    <row r="381" spans="1:6" x14ac:dyDescent="0.25">
      <c r="A381" t="s">
        <v>143</v>
      </c>
      <c r="B381">
        <v>1</v>
      </c>
      <c r="C381" s="2">
        <v>1200000</v>
      </c>
      <c r="D381" s="2" t="s">
        <v>390</v>
      </c>
      <c r="E381" s="1">
        <v>45939</v>
      </c>
      <c r="F381" s="2">
        <v>1200000</v>
      </c>
    </row>
    <row r="382" spans="1:6" x14ac:dyDescent="0.25">
      <c r="A382" t="s">
        <v>143</v>
      </c>
      <c r="B382">
        <v>2</v>
      </c>
      <c r="C382" s="2">
        <v>900000</v>
      </c>
      <c r="D382" s="2" t="s">
        <v>391</v>
      </c>
      <c r="E382" s="1"/>
      <c r="F382" s="2"/>
    </row>
    <row r="383" spans="1:6" x14ac:dyDescent="0.25">
      <c r="A383" t="s">
        <v>143</v>
      </c>
      <c r="B383">
        <v>3</v>
      </c>
      <c r="C383" s="2">
        <v>900000</v>
      </c>
      <c r="D383" s="2" t="s">
        <v>391</v>
      </c>
      <c r="E383" s="1"/>
      <c r="F383" s="2"/>
    </row>
    <row r="384" spans="1:6" x14ac:dyDescent="0.25">
      <c r="A384" t="s">
        <v>145</v>
      </c>
      <c r="B384">
        <v>1</v>
      </c>
      <c r="C384" s="2">
        <v>243979</v>
      </c>
      <c r="D384" s="2" t="s">
        <v>390</v>
      </c>
      <c r="E384" s="1">
        <v>44718</v>
      </c>
      <c r="F384" s="2">
        <v>243979</v>
      </c>
    </row>
    <row r="385" spans="1:6" x14ac:dyDescent="0.25">
      <c r="A385" t="s">
        <v>145</v>
      </c>
      <c r="B385">
        <v>2</v>
      </c>
      <c r="C385" s="2">
        <v>243979</v>
      </c>
      <c r="D385" s="2" t="s">
        <v>390</v>
      </c>
      <c r="E385" s="1">
        <v>45118</v>
      </c>
      <c r="F385" s="2">
        <v>243979</v>
      </c>
    </row>
    <row r="386" spans="1:6" x14ac:dyDescent="0.25">
      <c r="A386" t="s">
        <v>146</v>
      </c>
      <c r="B386">
        <v>1</v>
      </c>
      <c r="C386" s="2">
        <v>150588.41</v>
      </c>
      <c r="D386" s="2" t="s">
        <v>390</v>
      </c>
      <c r="E386" s="1">
        <v>44743</v>
      </c>
      <c r="F386" s="2">
        <v>150588.41</v>
      </c>
    </row>
    <row r="387" spans="1:6" x14ac:dyDescent="0.25">
      <c r="A387" t="s">
        <v>146</v>
      </c>
      <c r="B387">
        <v>2</v>
      </c>
      <c r="C387" s="2">
        <v>373179.49</v>
      </c>
      <c r="D387" s="2" t="s">
        <v>390</v>
      </c>
      <c r="E387" s="1">
        <v>45050</v>
      </c>
      <c r="F387" s="2">
        <v>373179.49</v>
      </c>
    </row>
    <row r="388" spans="1:6" x14ac:dyDescent="0.25">
      <c r="A388" t="s">
        <v>146</v>
      </c>
      <c r="B388">
        <v>3</v>
      </c>
      <c r="C388" s="2">
        <v>64008.89</v>
      </c>
      <c r="D388" s="2" t="s">
        <v>390</v>
      </c>
      <c r="E388" s="1">
        <v>45411</v>
      </c>
      <c r="F388" s="2">
        <v>64008.89</v>
      </c>
    </row>
    <row r="389" spans="1:6" x14ac:dyDescent="0.25">
      <c r="A389" t="s">
        <v>148</v>
      </c>
      <c r="B389">
        <v>1</v>
      </c>
      <c r="C389" s="2">
        <v>1514028.89</v>
      </c>
      <c r="D389" s="2" t="s">
        <v>390</v>
      </c>
      <c r="E389" s="1">
        <v>44740</v>
      </c>
      <c r="F389" s="2">
        <v>1514028.89</v>
      </c>
    </row>
    <row r="390" spans="1:6" x14ac:dyDescent="0.25">
      <c r="A390" t="s">
        <v>148</v>
      </c>
      <c r="B390">
        <v>2</v>
      </c>
      <c r="C390" s="2">
        <v>1998518.19</v>
      </c>
      <c r="D390" s="2" t="s">
        <v>390</v>
      </c>
      <c r="E390" s="1">
        <v>44740</v>
      </c>
      <c r="F390" s="2">
        <v>1998518.19</v>
      </c>
    </row>
    <row r="391" spans="1:6" x14ac:dyDescent="0.25">
      <c r="A391" t="s">
        <v>148</v>
      </c>
      <c r="B391">
        <v>3</v>
      </c>
      <c r="C391" s="2">
        <v>1816384.63</v>
      </c>
      <c r="D391" s="2" t="s">
        <v>390</v>
      </c>
      <c r="E391" s="1">
        <v>45272</v>
      </c>
      <c r="F391" s="2">
        <v>1816384.63</v>
      </c>
    </row>
    <row r="392" spans="1:6" x14ac:dyDescent="0.25">
      <c r="A392" t="s">
        <v>148</v>
      </c>
      <c r="B392">
        <v>4</v>
      </c>
      <c r="C392" s="2">
        <v>727183.87</v>
      </c>
      <c r="D392" s="2" t="s">
        <v>391</v>
      </c>
      <c r="E392" s="1"/>
      <c r="F392" s="2"/>
    </row>
    <row r="393" spans="1:6" x14ac:dyDescent="0.25">
      <c r="A393" t="s">
        <v>149</v>
      </c>
      <c r="B393">
        <v>1</v>
      </c>
      <c r="C393" s="2">
        <v>98840.37</v>
      </c>
      <c r="D393" s="2" t="s">
        <v>390</v>
      </c>
      <c r="E393" s="1">
        <v>44740</v>
      </c>
      <c r="F393" s="2">
        <v>98840.37</v>
      </c>
    </row>
    <row r="394" spans="1:6" x14ac:dyDescent="0.25">
      <c r="A394" t="s">
        <v>149</v>
      </c>
      <c r="B394">
        <v>2</v>
      </c>
      <c r="C394" s="2">
        <v>189513.06</v>
      </c>
      <c r="D394" s="2" t="s">
        <v>390</v>
      </c>
      <c r="E394" s="1">
        <v>45341</v>
      </c>
      <c r="F394" s="2">
        <v>189513.06</v>
      </c>
    </row>
    <row r="395" spans="1:6" x14ac:dyDescent="0.25">
      <c r="A395" t="s">
        <v>149</v>
      </c>
      <c r="B395">
        <v>3</v>
      </c>
      <c r="C395" s="2">
        <v>309208.46999999997</v>
      </c>
      <c r="D395" s="2" t="s">
        <v>390</v>
      </c>
      <c r="E395" s="1">
        <v>45716</v>
      </c>
      <c r="F395" s="2">
        <v>309208.46999999997</v>
      </c>
    </row>
    <row r="396" spans="1:6" x14ac:dyDescent="0.25">
      <c r="A396" t="s">
        <v>149</v>
      </c>
      <c r="B396">
        <v>4</v>
      </c>
      <c r="C396" s="2">
        <v>1056502.77</v>
      </c>
      <c r="D396" s="2" t="s">
        <v>391</v>
      </c>
      <c r="E396" s="1"/>
      <c r="F396" s="2"/>
    </row>
    <row r="397" spans="1:6" x14ac:dyDescent="0.25">
      <c r="A397" t="s">
        <v>150</v>
      </c>
      <c r="B397">
        <v>1</v>
      </c>
      <c r="C397" s="2">
        <v>200000</v>
      </c>
      <c r="D397" s="2" t="s">
        <v>390</v>
      </c>
      <c r="E397" s="1">
        <v>45478</v>
      </c>
      <c r="F397" s="2">
        <v>200000</v>
      </c>
    </row>
    <row r="398" spans="1:6" x14ac:dyDescent="0.25">
      <c r="A398" t="s">
        <v>150</v>
      </c>
      <c r="B398">
        <v>2</v>
      </c>
      <c r="C398" s="2">
        <v>200000</v>
      </c>
      <c r="D398" s="2" t="s">
        <v>391</v>
      </c>
      <c r="E398" s="1"/>
      <c r="F398" s="2"/>
    </row>
    <row r="399" spans="1:6" x14ac:dyDescent="0.25">
      <c r="A399" t="s">
        <v>399</v>
      </c>
      <c r="B399">
        <v>1</v>
      </c>
      <c r="C399" s="2">
        <v>100000</v>
      </c>
      <c r="D399" s="2" t="s">
        <v>391</v>
      </c>
      <c r="E399" s="1"/>
      <c r="F399" s="2"/>
    </row>
    <row r="400" spans="1:6" x14ac:dyDescent="0.25">
      <c r="A400" t="s">
        <v>399</v>
      </c>
      <c r="B400">
        <v>2</v>
      </c>
      <c r="C400" s="2">
        <v>100000</v>
      </c>
      <c r="D400" s="2" t="s">
        <v>391</v>
      </c>
      <c r="E400" s="1"/>
      <c r="F400" s="2"/>
    </row>
    <row r="401" spans="1:6" x14ac:dyDescent="0.25">
      <c r="A401" t="s">
        <v>399</v>
      </c>
      <c r="B401">
        <v>3</v>
      </c>
      <c r="C401" s="2">
        <v>100000</v>
      </c>
      <c r="D401" s="2" t="s">
        <v>391</v>
      </c>
      <c r="E401" s="1"/>
      <c r="F401" s="2"/>
    </row>
    <row r="402" spans="1:6" x14ac:dyDescent="0.25">
      <c r="A402" t="s">
        <v>400</v>
      </c>
      <c r="B402">
        <v>1</v>
      </c>
      <c r="C402" s="2">
        <v>135592.22</v>
      </c>
      <c r="D402" s="2" t="s">
        <v>390</v>
      </c>
      <c r="E402" s="1">
        <v>44466</v>
      </c>
      <c r="F402" s="2">
        <v>135592.22</v>
      </c>
    </row>
    <row r="403" spans="1:6" x14ac:dyDescent="0.25">
      <c r="A403" t="s">
        <v>400</v>
      </c>
      <c r="B403">
        <v>2</v>
      </c>
      <c r="C403" s="2">
        <v>427576.17</v>
      </c>
      <c r="D403" s="2" t="s">
        <v>390</v>
      </c>
      <c r="E403" s="1">
        <v>44614</v>
      </c>
      <c r="F403" s="2">
        <v>427576.17</v>
      </c>
    </row>
    <row r="404" spans="1:6" x14ac:dyDescent="0.25">
      <c r="A404" t="s">
        <v>400</v>
      </c>
      <c r="B404">
        <v>3</v>
      </c>
      <c r="C404" s="2">
        <v>282676.12</v>
      </c>
      <c r="D404" s="2" t="s">
        <v>390</v>
      </c>
      <c r="E404" s="1">
        <v>44732</v>
      </c>
      <c r="F404" s="2">
        <v>282676.12</v>
      </c>
    </row>
    <row r="405" spans="1:6" x14ac:dyDescent="0.25">
      <c r="A405" t="s">
        <v>400</v>
      </c>
      <c r="B405">
        <v>4</v>
      </c>
      <c r="C405" s="2">
        <v>254155.49</v>
      </c>
      <c r="D405" s="2" t="s">
        <v>390</v>
      </c>
      <c r="E405" s="1">
        <v>44802</v>
      </c>
      <c r="F405" s="2">
        <v>254155.49</v>
      </c>
    </row>
    <row r="406" spans="1:6" x14ac:dyDescent="0.25">
      <c r="A406" t="s">
        <v>152</v>
      </c>
      <c r="B406">
        <v>1</v>
      </c>
      <c r="C406" s="2">
        <v>500000</v>
      </c>
      <c r="D406" s="2" t="s">
        <v>390</v>
      </c>
      <c r="E406" s="1">
        <v>44726</v>
      </c>
      <c r="F406" s="2">
        <v>500000</v>
      </c>
    </row>
    <row r="407" spans="1:6" x14ac:dyDescent="0.25">
      <c r="A407" t="s">
        <v>152</v>
      </c>
      <c r="B407">
        <v>2</v>
      </c>
      <c r="C407" s="2">
        <v>200000</v>
      </c>
      <c r="D407" s="2" t="s">
        <v>390</v>
      </c>
      <c r="E407" s="1">
        <v>45156</v>
      </c>
      <c r="F407" s="2">
        <v>200000</v>
      </c>
    </row>
    <row r="408" spans="1:6" x14ac:dyDescent="0.25">
      <c r="A408" t="s">
        <v>153</v>
      </c>
      <c r="B408">
        <v>1</v>
      </c>
      <c r="C408" s="2">
        <v>500000</v>
      </c>
      <c r="D408" s="2" t="s">
        <v>390</v>
      </c>
      <c r="E408" s="1">
        <v>44734</v>
      </c>
      <c r="F408" s="2">
        <v>500000</v>
      </c>
    </row>
    <row r="409" spans="1:6" x14ac:dyDescent="0.25">
      <c r="A409" t="s">
        <v>153</v>
      </c>
      <c r="B409">
        <v>2</v>
      </c>
      <c r="C409" s="2">
        <v>500000</v>
      </c>
      <c r="D409" s="2" t="s">
        <v>390</v>
      </c>
      <c r="E409" s="1">
        <v>45156</v>
      </c>
      <c r="F409" s="2">
        <v>500000</v>
      </c>
    </row>
    <row r="410" spans="1:6" x14ac:dyDescent="0.25">
      <c r="A410" t="s">
        <v>154</v>
      </c>
      <c r="B410">
        <v>1</v>
      </c>
      <c r="C410" s="2">
        <v>400000</v>
      </c>
      <c r="D410" s="2" t="s">
        <v>390</v>
      </c>
      <c r="E410" s="1">
        <v>45371</v>
      </c>
      <c r="F410" s="2">
        <v>400000</v>
      </c>
    </row>
    <row r="411" spans="1:6" x14ac:dyDescent="0.25">
      <c r="A411" t="s">
        <v>154</v>
      </c>
      <c r="B411">
        <v>2</v>
      </c>
      <c r="C411" s="2">
        <v>300000</v>
      </c>
      <c r="D411" s="2" t="s">
        <v>390</v>
      </c>
      <c r="E411" s="1">
        <v>45699</v>
      </c>
      <c r="F411" s="2">
        <v>300000</v>
      </c>
    </row>
    <row r="412" spans="1:6" x14ac:dyDescent="0.25">
      <c r="A412" t="s">
        <v>154</v>
      </c>
      <c r="B412">
        <v>3</v>
      </c>
      <c r="C412" s="2">
        <v>300000</v>
      </c>
      <c r="D412" s="2" t="s">
        <v>390</v>
      </c>
      <c r="E412" s="1">
        <v>45951</v>
      </c>
      <c r="F412" s="2">
        <v>300000</v>
      </c>
    </row>
    <row r="413" spans="1:6" x14ac:dyDescent="0.25">
      <c r="A413" t="s">
        <v>156</v>
      </c>
      <c r="B413">
        <v>1</v>
      </c>
      <c r="C413" s="2">
        <v>87500</v>
      </c>
      <c r="D413" s="2" t="s">
        <v>390</v>
      </c>
      <c r="E413" s="1">
        <v>45021</v>
      </c>
      <c r="F413" s="2">
        <v>87500</v>
      </c>
    </row>
    <row r="414" spans="1:6" x14ac:dyDescent="0.25">
      <c r="A414" t="s">
        <v>156</v>
      </c>
      <c r="B414">
        <v>2</v>
      </c>
      <c r="C414" s="2">
        <v>87500</v>
      </c>
      <c r="D414" s="2" t="s">
        <v>390</v>
      </c>
      <c r="E414" s="1">
        <v>45287</v>
      </c>
      <c r="F414" s="2">
        <v>87500</v>
      </c>
    </row>
    <row r="415" spans="1:6" x14ac:dyDescent="0.25">
      <c r="A415" t="s">
        <v>157</v>
      </c>
      <c r="B415">
        <v>1</v>
      </c>
      <c r="C415" s="2">
        <v>492500</v>
      </c>
      <c r="D415" s="2" t="s">
        <v>390</v>
      </c>
      <c r="E415" s="1">
        <v>45016</v>
      </c>
      <c r="F415" s="2">
        <v>492500</v>
      </c>
    </row>
    <row r="416" spans="1:6" x14ac:dyDescent="0.25">
      <c r="A416" t="s">
        <v>157</v>
      </c>
      <c r="B416">
        <v>2</v>
      </c>
      <c r="C416" s="2">
        <v>1477500</v>
      </c>
      <c r="D416" s="2" t="s">
        <v>390</v>
      </c>
      <c r="E416" s="1">
        <v>45411</v>
      </c>
      <c r="F416" s="2">
        <v>1477500</v>
      </c>
    </row>
    <row r="417" spans="1:6" x14ac:dyDescent="0.25">
      <c r="A417" t="s">
        <v>159</v>
      </c>
      <c r="B417">
        <v>1</v>
      </c>
      <c r="C417" s="2">
        <v>155702.98000000001</v>
      </c>
      <c r="D417" s="2" t="s">
        <v>390</v>
      </c>
      <c r="E417" s="1">
        <v>44739</v>
      </c>
      <c r="F417" s="2">
        <v>155702.98000000001</v>
      </c>
    </row>
    <row r="418" spans="1:6" x14ac:dyDescent="0.25">
      <c r="A418" t="s">
        <v>159</v>
      </c>
      <c r="B418">
        <v>2</v>
      </c>
      <c r="C418" s="2">
        <v>244297.02</v>
      </c>
      <c r="D418" s="2" t="s">
        <v>390</v>
      </c>
      <c r="E418" s="1">
        <v>45407</v>
      </c>
      <c r="F418" s="2">
        <v>244297.02</v>
      </c>
    </row>
    <row r="419" spans="1:6" x14ac:dyDescent="0.25">
      <c r="A419" t="s">
        <v>160</v>
      </c>
      <c r="B419">
        <v>1</v>
      </c>
      <c r="C419" s="2">
        <v>126291.84</v>
      </c>
      <c r="D419" s="2" t="s">
        <v>390</v>
      </c>
      <c r="E419" s="1">
        <v>44734</v>
      </c>
      <c r="F419" s="2">
        <v>126291.84</v>
      </c>
    </row>
    <row r="420" spans="1:6" x14ac:dyDescent="0.25">
      <c r="A420" t="s">
        <v>160</v>
      </c>
      <c r="B420">
        <v>2</v>
      </c>
      <c r="C420" s="2">
        <v>84194.55</v>
      </c>
      <c r="D420" s="2" t="s">
        <v>390</v>
      </c>
      <c r="E420" s="1">
        <v>45351</v>
      </c>
      <c r="F420" s="2">
        <v>84194.55</v>
      </c>
    </row>
    <row r="421" spans="1:6" x14ac:dyDescent="0.25">
      <c r="A421" t="s">
        <v>161</v>
      </c>
      <c r="B421">
        <v>1</v>
      </c>
      <c r="C421" s="2">
        <v>50000</v>
      </c>
      <c r="D421" s="2" t="s">
        <v>390</v>
      </c>
      <c r="E421" s="1">
        <v>44740</v>
      </c>
      <c r="F421" s="2">
        <v>50000</v>
      </c>
    </row>
    <row r="422" spans="1:6" x14ac:dyDescent="0.25">
      <c r="A422" t="s">
        <v>161</v>
      </c>
      <c r="B422">
        <v>2</v>
      </c>
      <c r="C422" s="2">
        <v>150000</v>
      </c>
      <c r="D422" s="2" t="s">
        <v>390</v>
      </c>
      <c r="E422" s="1">
        <v>45170</v>
      </c>
      <c r="F422" s="2">
        <v>150000</v>
      </c>
    </row>
    <row r="423" spans="1:6" x14ac:dyDescent="0.25">
      <c r="A423" t="s">
        <v>162</v>
      </c>
      <c r="B423">
        <v>1</v>
      </c>
      <c r="C423" s="2">
        <v>500000</v>
      </c>
      <c r="D423" s="2" t="s">
        <v>390</v>
      </c>
      <c r="E423" s="1">
        <v>44741</v>
      </c>
      <c r="F423" s="2">
        <v>500000</v>
      </c>
    </row>
    <row r="424" spans="1:6" x14ac:dyDescent="0.25">
      <c r="A424" t="s">
        <v>162</v>
      </c>
      <c r="B424">
        <v>2</v>
      </c>
      <c r="C424" s="2">
        <v>2800000</v>
      </c>
      <c r="D424" s="2" t="s">
        <v>390</v>
      </c>
      <c r="E424" s="1">
        <v>45044</v>
      </c>
      <c r="F424" s="2">
        <v>2800000</v>
      </c>
    </row>
    <row r="425" spans="1:6" x14ac:dyDescent="0.25">
      <c r="A425" t="s">
        <v>162</v>
      </c>
      <c r="B425">
        <v>3</v>
      </c>
      <c r="C425" s="2">
        <v>3200000</v>
      </c>
      <c r="D425" s="2" t="s">
        <v>390</v>
      </c>
      <c r="E425" s="1">
        <v>45280</v>
      </c>
      <c r="F425" s="2">
        <v>3200000</v>
      </c>
    </row>
    <row r="426" spans="1:6" x14ac:dyDescent="0.25">
      <c r="A426" t="s">
        <v>162</v>
      </c>
      <c r="B426">
        <v>4</v>
      </c>
      <c r="C426" s="2">
        <v>4400000</v>
      </c>
      <c r="D426" s="2" t="s">
        <v>390</v>
      </c>
      <c r="E426" s="1">
        <v>45406</v>
      </c>
      <c r="F426" s="2">
        <v>4400000</v>
      </c>
    </row>
    <row r="427" spans="1:6" x14ac:dyDescent="0.25">
      <c r="A427" t="s">
        <v>162</v>
      </c>
      <c r="B427">
        <v>5</v>
      </c>
      <c r="C427" s="2">
        <v>520166.8</v>
      </c>
      <c r="D427" s="2" t="s">
        <v>390</v>
      </c>
      <c r="E427" s="1">
        <v>45954</v>
      </c>
      <c r="F427" s="2">
        <v>520166.8</v>
      </c>
    </row>
    <row r="428" spans="1:6" x14ac:dyDescent="0.25">
      <c r="A428" t="s">
        <v>163</v>
      </c>
      <c r="B428">
        <v>1</v>
      </c>
      <c r="C428" s="2">
        <v>300000</v>
      </c>
      <c r="D428" s="2" t="s">
        <v>390</v>
      </c>
      <c r="E428" s="1">
        <v>45027</v>
      </c>
      <c r="F428" s="2">
        <v>300000</v>
      </c>
    </row>
    <row r="429" spans="1:6" x14ac:dyDescent="0.25">
      <c r="A429" t="s">
        <v>163</v>
      </c>
      <c r="B429">
        <v>2</v>
      </c>
      <c r="C429" s="2">
        <v>499895.74</v>
      </c>
      <c r="D429" s="2" t="s">
        <v>390</v>
      </c>
      <c r="E429" s="1">
        <v>45406</v>
      </c>
      <c r="F429" s="2">
        <v>499895.74</v>
      </c>
    </row>
    <row r="430" spans="1:6" x14ac:dyDescent="0.25">
      <c r="A430" t="s">
        <v>164</v>
      </c>
      <c r="B430">
        <v>1</v>
      </c>
      <c r="C430" s="2">
        <v>500000</v>
      </c>
      <c r="D430" s="2" t="s">
        <v>390</v>
      </c>
      <c r="E430" s="1">
        <v>45476</v>
      </c>
      <c r="F430" s="2">
        <v>500000</v>
      </c>
    </row>
    <row r="431" spans="1:6" x14ac:dyDescent="0.25">
      <c r="A431" t="s">
        <v>164</v>
      </c>
      <c r="B431">
        <v>2</v>
      </c>
      <c r="C431" s="2">
        <v>500000</v>
      </c>
      <c r="D431" s="2" t="s">
        <v>390</v>
      </c>
      <c r="E431" s="1">
        <v>46009</v>
      </c>
      <c r="F431" s="2">
        <v>500000</v>
      </c>
    </row>
    <row r="432" spans="1:6" x14ac:dyDescent="0.25">
      <c r="A432" t="s">
        <v>165</v>
      </c>
      <c r="B432">
        <v>1</v>
      </c>
      <c r="C432" s="2">
        <v>100000</v>
      </c>
      <c r="D432" s="2" t="s">
        <v>390</v>
      </c>
      <c r="E432" s="1">
        <v>45477</v>
      </c>
      <c r="F432" s="2">
        <v>100000</v>
      </c>
    </row>
    <row r="433" spans="1:6" x14ac:dyDescent="0.25">
      <c r="A433" t="s">
        <v>165</v>
      </c>
      <c r="B433">
        <v>2</v>
      </c>
      <c r="C433" s="2">
        <v>1804698.37</v>
      </c>
      <c r="D433" s="2" t="s">
        <v>390</v>
      </c>
      <c r="E433" s="1">
        <v>45888</v>
      </c>
      <c r="F433" s="2">
        <v>1804698.37</v>
      </c>
    </row>
    <row r="434" spans="1:6" x14ac:dyDescent="0.25">
      <c r="A434" t="s">
        <v>167</v>
      </c>
      <c r="B434">
        <v>1</v>
      </c>
      <c r="C434" s="2">
        <v>3613913.01</v>
      </c>
      <c r="D434" s="2" t="s">
        <v>390</v>
      </c>
      <c r="E434" s="1">
        <v>44734</v>
      </c>
      <c r="F434" s="2">
        <v>3613913.01</v>
      </c>
    </row>
    <row r="435" spans="1:6" x14ac:dyDescent="0.25">
      <c r="A435" t="s">
        <v>167</v>
      </c>
      <c r="B435">
        <v>2</v>
      </c>
      <c r="C435" s="2">
        <v>5314526.96</v>
      </c>
      <c r="D435" s="2" t="s">
        <v>390</v>
      </c>
      <c r="E435" s="1">
        <v>45265</v>
      </c>
      <c r="F435" s="2">
        <v>5314526.96</v>
      </c>
    </row>
    <row r="436" spans="1:6" x14ac:dyDescent="0.25">
      <c r="A436" t="s">
        <v>167</v>
      </c>
      <c r="B436">
        <v>3</v>
      </c>
      <c r="C436" s="2">
        <v>1441036.46</v>
      </c>
      <c r="D436" s="2" t="s">
        <v>390</v>
      </c>
      <c r="E436" s="1">
        <v>45756</v>
      </c>
      <c r="F436" s="2">
        <v>1441036.46</v>
      </c>
    </row>
    <row r="437" spans="1:6" x14ac:dyDescent="0.25">
      <c r="A437" t="s">
        <v>401</v>
      </c>
      <c r="B437">
        <v>1</v>
      </c>
      <c r="C437" s="2">
        <v>100000</v>
      </c>
      <c r="D437" s="2" t="s">
        <v>390</v>
      </c>
      <c r="E437" s="1">
        <v>44743</v>
      </c>
      <c r="F437" s="2">
        <v>100000</v>
      </c>
    </row>
    <row r="438" spans="1:6" x14ac:dyDescent="0.25">
      <c r="A438" t="s">
        <v>401</v>
      </c>
      <c r="B438">
        <v>2</v>
      </c>
      <c r="C438" s="2">
        <v>99395.24</v>
      </c>
      <c r="D438" s="2" t="s">
        <v>390</v>
      </c>
      <c r="E438" s="1">
        <v>44691</v>
      </c>
      <c r="F438" s="2">
        <v>99395.24</v>
      </c>
    </row>
    <row r="439" spans="1:6" x14ac:dyDescent="0.25">
      <c r="A439" t="s">
        <v>168</v>
      </c>
      <c r="B439">
        <v>1</v>
      </c>
      <c r="C439" s="2">
        <v>245334.36</v>
      </c>
      <c r="D439" s="2" t="s">
        <v>390</v>
      </c>
      <c r="E439" s="1">
        <v>44739</v>
      </c>
      <c r="F439" s="2">
        <v>245334.36</v>
      </c>
    </row>
    <row r="440" spans="1:6" x14ac:dyDescent="0.25">
      <c r="A440" t="s">
        <v>168</v>
      </c>
      <c r="B440">
        <v>2</v>
      </c>
      <c r="C440" s="2">
        <v>1470954.3</v>
      </c>
      <c r="D440" s="2" t="s">
        <v>390</v>
      </c>
      <c r="E440" s="1">
        <v>44914</v>
      </c>
      <c r="F440" s="2">
        <v>1470954.3</v>
      </c>
    </row>
    <row r="441" spans="1:6" x14ac:dyDescent="0.25">
      <c r="A441" t="s">
        <v>168</v>
      </c>
      <c r="B441">
        <v>3</v>
      </c>
      <c r="C441" s="2">
        <v>396363.59</v>
      </c>
      <c r="D441" s="2" t="s">
        <v>390</v>
      </c>
      <c r="E441" s="1">
        <v>45405</v>
      </c>
      <c r="F441" s="2">
        <v>396363.59</v>
      </c>
    </row>
    <row r="442" spans="1:6" x14ac:dyDescent="0.25">
      <c r="A442" t="s">
        <v>168</v>
      </c>
      <c r="B442">
        <v>4</v>
      </c>
      <c r="C442" s="2">
        <v>396363.59</v>
      </c>
      <c r="D442" s="2" t="s">
        <v>390</v>
      </c>
      <c r="E442" s="1">
        <v>45405</v>
      </c>
      <c r="F442" s="2">
        <v>396363.59</v>
      </c>
    </row>
    <row r="443" spans="1:6" x14ac:dyDescent="0.25">
      <c r="A443" t="s">
        <v>170</v>
      </c>
      <c r="B443">
        <v>1</v>
      </c>
      <c r="C443" s="2">
        <v>750305.27</v>
      </c>
      <c r="D443" s="2" t="s">
        <v>390</v>
      </c>
      <c r="E443" s="1">
        <v>44676</v>
      </c>
      <c r="F443" s="2">
        <v>750305.27</v>
      </c>
    </row>
    <row r="444" spans="1:6" x14ac:dyDescent="0.25">
      <c r="A444" t="s">
        <v>170</v>
      </c>
      <c r="B444">
        <v>2</v>
      </c>
      <c r="C444" s="2">
        <v>750305.27</v>
      </c>
      <c r="D444" s="2" t="s">
        <v>390</v>
      </c>
      <c r="E444" s="1">
        <v>45142</v>
      </c>
      <c r="F444" s="2">
        <v>750305.27</v>
      </c>
    </row>
    <row r="445" spans="1:6" x14ac:dyDescent="0.25">
      <c r="A445" t="s">
        <v>170</v>
      </c>
      <c r="B445">
        <v>3</v>
      </c>
      <c r="C445" s="2">
        <v>500203.51</v>
      </c>
      <c r="D445" s="2" t="s">
        <v>391</v>
      </c>
      <c r="E445" s="1"/>
      <c r="F445" s="2"/>
    </row>
    <row r="446" spans="1:6" x14ac:dyDescent="0.25">
      <c r="A446" t="s">
        <v>170</v>
      </c>
      <c r="B446">
        <v>4</v>
      </c>
      <c r="C446" s="2">
        <v>500203.51</v>
      </c>
      <c r="D446" s="2" t="s">
        <v>391</v>
      </c>
      <c r="E446" s="1"/>
      <c r="F446" s="2"/>
    </row>
    <row r="447" spans="1:6" x14ac:dyDescent="0.25">
      <c r="A447" t="s">
        <v>402</v>
      </c>
      <c r="B447">
        <v>1</v>
      </c>
      <c r="C447" s="2">
        <v>2680699.7999999998</v>
      </c>
      <c r="D447" s="2" t="s">
        <v>390</v>
      </c>
      <c r="E447" s="1">
        <v>44628</v>
      </c>
      <c r="F447" s="2">
        <v>2680699.7999999998</v>
      </c>
    </row>
    <row r="448" spans="1:6" x14ac:dyDescent="0.25">
      <c r="A448" t="s">
        <v>402</v>
      </c>
      <c r="B448">
        <v>2</v>
      </c>
      <c r="C448" s="2">
        <v>2680699.7999999998</v>
      </c>
      <c r="D448" s="2" t="s">
        <v>390</v>
      </c>
      <c r="E448" s="1">
        <v>44960</v>
      </c>
      <c r="F448" s="2">
        <v>2680699.7999999998</v>
      </c>
    </row>
    <row r="449" spans="1:6" x14ac:dyDescent="0.25">
      <c r="A449" t="s">
        <v>402</v>
      </c>
      <c r="B449">
        <v>3</v>
      </c>
      <c r="C449" s="2">
        <v>1340394.93</v>
      </c>
      <c r="D449" s="2" t="s">
        <v>390</v>
      </c>
      <c r="E449" s="1">
        <v>45271</v>
      </c>
      <c r="F449" s="2">
        <v>1340394.93</v>
      </c>
    </row>
    <row r="450" spans="1:6" x14ac:dyDescent="0.25">
      <c r="A450" t="s">
        <v>402</v>
      </c>
      <c r="B450">
        <v>4</v>
      </c>
      <c r="C450" s="2">
        <v>861765.55</v>
      </c>
      <c r="D450" s="2" t="s">
        <v>390</v>
      </c>
      <c r="E450" s="1">
        <v>45826</v>
      </c>
      <c r="F450" s="2">
        <v>861765.55</v>
      </c>
    </row>
    <row r="451" spans="1:6" x14ac:dyDescent="0.25">
      <c r="A451" t="s">
        <v>171</v>
      </c>
      <c r="B451">
        <v>1</v>
      </c>
      <c r="C451" s="2">
        <v>174165.27</v>
      </c>
      <c r="D451" s="2" t="s">
        <v>390</v>
      </c>
      <c r="E451" s="1">
        <v>44742</v>
      </c>
      <c r="F451" s="2">
        <v>174165.27</v>
      </c>
    </row>
    <row r="452" spans="1:6" x14ac:dyDescent="0.25">
      <c r="A452" t="s">
        <v>171</v>
      </c>
      <c r="B452">
        <v>2</v>
      </c>
      <c r="C452" s="2">
        <v>137989.01999999999</v>
      </c>
      <c r="D452" s="2" t="s">
        <v>390</v>
      </c>
      <c r="E452" s="1">
        <v>45287</v>
      </c>
      <c r="F452" s="2">
        <v>137989.01999999999</v>
      </c>
    </row>
    <row r="453" spans="1:6" x14ac:dyDescent="0.25">
      <c r="A453" t="s">
        <v>172</v>
      </c>
      <c r="B453">
        <v>1</v>
      </c>
      <c r="C453" s="2">
        <v>100000</v>
      </c>
      <c r="D453" s="2" t="s">
        <v>390</v>
      </c>
      <c r="E453" s="1">
        <v>45120</v>
      </c>
      <c r="F453" s="2">
        <v>100000</v>
      </c>
    </row>
    <row r="454" spans="1:6" x14ac:dyDescent="0.25">
      <c r="A454" t="s">
        <v>172</v>
      </c>
      <c r="B454">
        <v>2</v>
      </c>
      <c r="C454" s="2">
        <v>100000</v>
      </c>
      <c r="D454" s="2" t="s">
        <v>390</v>
      </c>
      <c r="E454" s="1">
        <v>45288</v>
      </c>
      <c r="F454" s="2">
        <v>100000</v>
      </c>
    </row>
    <row r="455" spans="1:6" x14ac:dyDescent="0.25">
      <c r="A455" t="s">
        <v>172</v>
      </c>
      <c r="B455">
        <v>3</v>
      </c>
      <c r="C455" s="2">
        <v>100000</v>
      </c>
      <c r="D455" s="2" t="s">
        <v>390</v>
      </c>
      <c r="E455" s="1">
        <v>45923</v>
      </c>
      <c r="F455" s="2">
        <v>100000</v>
      </c>
    </row>
    <row r="456" spans="1:6" x14ac:dyDescent="0.25">
      <c r="A456" t="s">
        <v>173</v>
      </c>
      <c r="B456">
        <v>1</v>
      </c>
      <c r="C456" s="2">
        <v>295274.51</v>
      </c>
      <c r="D456" s="2" t="s">
        <v>390</v>
      </c>
      <c r="E456" s="1">
        <v>45015</v>
      </c>
      <c r="F456" s="2">
        <v>292274.51</v>
      </c>
    </row>
    <row r="457" spans="1:6" x14ac:dyDescent="0.25">
      <c r="A457" t="s">
        <v>173</v>
      </c>
      <c r="B457">
        <v>2</v>
      </c>
      <c r="C457" s="2">
        <v>529375.81000000006</v>
      </c>
      <c r="D457" s="2" t="s">
        <v>390</v>
      </c>
      <c r="E457" s="1">
        <v>45446</v>
      </c>
      <c r="F457" s="2">
        <v>529375.81000000006</v>
      </c>
    </row>
    <row r="458" spans="1:6" x14ac:dyDescent="0.25">
      <c r="A458" t="s">
        <v>173</v>
      </c>
      <c r="B458">
        <v>3</v>
      </c>
      <c r="C458" s="2">
        <v>156980.35</v>
      </c>
      <c r="D458" s="2" t="s">
        <v>391</v>
      </c>
      <c r="E458" s="1"/>
      <c r="F458" s="2"/>
    </row>
    <row r="459" spans="1:6" x14ac:dyDescent="0.25">
      <c r="A459" t="s">
        <v>403</v>
      </c>
      <c r="B459">
        <v>1</v>
      </c>
      <c r="C459" s="2">
        <v>1185248.42</v>
      </c>
      <c r="D459" s="2" t="s">
        <v>390</v>
      </c>
      <c r="E459" s="1">
        <v>44601</v>
      </c>
      <c r="F459" s="2">
        <v>1185248.42</v>
      </c>
    </row>
    <row r="460" spans="1:6" x14ac:dyDescent="0.25">
      <c r="A460" t="s">
        <v>403</v>
      </c>
      <c r="B460">
        <v>2</v>
      </c>
      <c r="C460" s="2">
        <v>1185248.42</v>
      </c>
      <c r="D460" s="2" t="s">
        <v>390</v>
      </c>
      <c r="E460" s="1">
        <v>44900</v>
      </c>
      <c r="F460" s="2">
        <v>1185248.42</v>
      </c>
    </row>
    <row r="461" spans="1:6" x14ac:dyDescent="0.25">
      <c r="A461" t="s">
        <v>403</v>
      </c>
      <c r="B461">
        <v>3</v>
      </c>
      <c r="C461" s="2">
        <v>1185248.43</v>
      </c>
      <c r="D461" s="2" t="s">
        <v>390</v>
      </c>
      <c r="E461" s="1">
        <v>45287</v>
      </c>
      <c r="F461" s="2">
        <v>1185248.43</v>
      </c>
    </row>
    <row r="462" spans="1:6" x14ac:dyDescent="0.25">
      <c r="A462" t="s">
        <v>175</v>
      </c>
      <c r="B462">
        <v>1</v>
      </c>
      <c r="C462" s="2">
        <v>100000</v>
      </c>
      <c r="D462" s="2" t="s">
        <v>390</v>
      </c>
      <c r="E462" s="1">
        <v>44743</v>
      </c>
      <c r="F462" s="2">
        <v>100000</v>
      </c>
    </row>
    <row r="463" spans="1:6" x14ac:dyDescent="0.25">
      <c r="A463" t="s">
        <v>175</v>
      </c>
      <c r="B463">
        <v>2</v>
      </c>
      <c r="C463" s="2">
        <v>100000</v>
      </c>
      <c r="D463" s="2" t="s">
        <v>390</v>
      </c>
      <c r="E463" s="1">
        <v>45287</v>
      </c>
      <c r="F463" s="2">
        <v>100000</v>
      </c>
    </row>
    <row r="464" spans="1:6" x14ac:dyDescent="0.25">
      <c r="A464" t="s">
        <v>176</v>
      </c>
      <c r="B464">
        <v>1</v>
      </c>
      <c r="C464" s="2">
        <v>300000</v>
      </c>
      <c r="D464" s="2" t="s">
        <v>390</v>
      </c>
      <c r="E464" s="1">
        <v>45016</v>
      </c>
      <c r="F464" s="2">
        <v>300000</v>
      </c>
    </row>
    <row r="465" spans="1:6" x14ac:dyDescent="0.25">
      <c r="A465" t="s">
        <v>176</v>
      </c>
      <c r="B465">
        <v>2</v>
      </c>
      <c r="C465" s="2">
        <v>700000</v>
      </c>
      <c r="D465" s="2" t="s">
        <v>390</v>
      </c>
      <c r="E465" s="1">
        <v>45422</v>
      </c>
      <c r="F465" s="2">
        <v>700000</v>
      </c>
    </row>
    <row r="466" spans="1:6" x14ac:dyDescent="0.25">
      <c r="A466" t="s">
        <v>176</v>
      </c>
      <c r="B466">
        <v>3</v>
      </c>
      <c r="C466" s="2">
        <v>700000</v>
      </c>
      <c r="D466" s="2" t="s">
        <v>391</v>
      </c>
      <c r="E466" s="1"/>
      <c r="F466" s="2"/>
    </row>
    <row r="467" spans="1:6" x14ac:dyDescent="0.25">
      <c r="A467" t="s">
        <v>178</v>
      </c>
      <c r="B467">
        <v>1</v>
      </c>
      <c r="C467" s="2">
        <v>1200000</v>
      </c>
      <c r="D467" s="2" t="s">
        <v>390</v>
      </c>
      <c r="E467" s="1">
        <v>44034</v>
      </c>
      <c r="F467" s="2">
        <v>1200000</v>
      </c>
    </row>
    <row r="468" spans="1:6" x14ac:dyDescent="0.25">
      <c r="A468" t="s">
        <v>178</v>
      </c>
      <c r="B468">
        <v>2</v>
      </c>
      <c r="C468" s="2">
        <v>900000</v>
      </c>
      <c r="D468" s="2" t="s">
        <v>390</v>
      </c>
      <c r="E468" s="1">
        <v>44483</v>
      </c>
      <c r="F468" s="2">
        <v>900000</v>
      </c>
    </row>
    <row r="469" spans="1:6" x14ac:dyDescent="0.25">
      <c r="A469" t="s">
        <v>178</v>
      </c>
      <c r="B469">
        <v>3</v>
      </c>
      <c r="C469" s="2">
        <v>900000</v>
      </c>
      <c r="D469" s="2" t="s">
        <v>391</v>
      </c>
      <c r="E469" s="1"/>
      <c r="F469" s="2"/>
    </row>
    <row r="470" spans="1:6" x14ac:dyDescent="0.25">
      <c r="A470" t="s">
        <v>179</v>
      </c>
      <c r="B470">
        <v>1</v>
      </c>
      <c r="C470" s="2">
        <v>1000000</v>
      </c>
      <c r="D470" s="2" t="s">
        <v>390</v>
      </c>
      <c r="E470" s="1">
        <v>44743</v>
      </c>
      <c r="F470" s="2">
        <v>1000000</v>
      </c>
    </row>
    <row r="471" spans="1:6" x14ac:dyDescent="0.25">
      <c r="A471" t="s">
        <v>179</v>
      </c>
      <c r="B471">
        <v>2</v>
      </c>
      <c r="C471" s="2">
        <v>4132922</v>
      </c>
      <c r="D471" s="2" t="s">
        <v>390</v>
      </c>
      <c r="E471" s="1">
        <v>45044</v>
      </c>
      <c r="F471" s="2">
        <v>4132922</v>
      </c>
    </row>
    <row r="472" spans="1:6" x14ac:dyDescent="0.25">
      <c r="A472" t="s">
        <v>179</v>
      </c>
      <c r="B472">
        <v>3</v>
      </c>
      <c r="C472" s="2">
        <v>4132922</v>
      </c>
      <c r="D472" s="2" t="s">
        <v>390</v>
      </c>
      <c r="E472" s="1">
        <v>45267</v>
      </c>
      <c r="F472" s="2">
        <v>4132922</v>
      </c>
    </row>
    <row r="473" spans="1:6" x14ac:dyDescent="0.25">
      <c r="A473" t="s">
        <v>179</v>
      </c>
      <c r="B473">
        <v>4</v>
      </c>
      <c r="C473" s="2">
        <v>4132922</v>
      </c>
      <c r="D473" s="2" t="s">
        <v>390</v>
      </c>
      <c r="E473" s="1">
        <v>45503</v>
      </c>
      <c r="F473" s="2">
        <v>4132922</v>
      </c>
    </row>
    <row r="474" spans="1:6" x14ac:dyDescent="0.25">
      <c r="A474" t="s">
        <v>179</v>
      </c>
      <c r="B474">
        <v>5</v>
      </c>
      <c r="C474" s="2">
        <v>4132922</v>
      </c>
      <c r="D474" s="2" t="s">
        <v>390</v>
      </c>
      <c r="E474" s="1">
        <v>45953</v>
      </c>
      <c r="F474" s="2">
        <v>4132922</v>
      </c>
    </row>
    <row r="475" spans="1:6" x14ac:dyDescent="0.25">
      <c r="A475" t="s">
        <v>179</v>
      </c>
      <c r="B475">
        <v>6</v>
      </c>
      <c r="C475" s="2">
        <v>4132922</v>
      </c>
      <c r="D475" s="2" t="s">
        <v>391</v>
      </c>
      <c r="E475" s="1"/>
      <c r="F475" s="2"/>
    </row>
    <row r="476" spans="1:6" x14ac:dyDescent="0.25">
      <c r="A476" t="s">
        <v>181</v>
      </c>
      <c r="B476">
        <v>1</v>
      </c>
      <c r="C476" s="2">
        <v>263859.57</v>
      </c>
      <c r="D476" s="2" t="s">
        <v>390</v>
      </c>
      <c r="E476" s="1">
        <v>44743</v>
      </c>
      <c r="F476" s="2">
        <v>263859.57</v>
      </c>
    </row>
    <row r="477" spans="1:6" x14ac:dyDescent="0.25">
      <c r="A477" t="s">
        <v>181</v>
      </c>
      <c r="B477">
        <v>2</v>
      </c>
      <c r="C477" s="2">
        <v>791578.71</v>
      </c>
      <c r="D477" s="2" t="s">
        <v>390</v>
      </c>
      <c r="E477" s="1">
        <v>45139</v>
      </c>
      <c r="F477" s="2">
        <v>791578.71</v>
      </c>
    </row>
    <row r="478" spans="1:6" x14ac:dyDescent="0.25">
      <c r="A478" t="s">
        <v>181</v>
      </c>
      <c r="B478">
        <v>3</v>
      </c>
      <c r="C478" s="2">
        <v>703625.53</v>
      </c>
      <c r="D478" s="2" t="s">
        <v>390</v>
      </c>
      <c r="E478" s="1">
        <v>45446</v>
      </c>
      <c r="F478" s="2">
        <v>703625.53</v>
      </c>
    </row>
    <row r="479" spans="1:6" x14ac:dyDescent="0.25">
      <c r="A479" t="s">
        <v>182</v>
      </c>
      <c r="B479">
        <v>1</v>
      </c>
      <c r="C479" s="2">
        <v>100000</v>
      </c>
      <c r="D479" s="2" t="s">
        <v>390</v>
      </c>
      <c r="E479" s="1">
        <v>45476</v>
      </c>
      <c r="F479" s="2">
        <v>100000</v>
      </c>
    </row>
    <row r="480" spans="1:6" x14ac:dyDescent="0.25">
      <c r="A480" t="s">
        <v>182</v>
      </c>
      <c r="B480">
        <v>2</v>
      </c>
      <c r="C480" s="2">
        <v>1804698.37</v>
      </c>
      <c r="D480" s="2" t="s">
        <v>390</v>
      </c>
      <c r="E480" s="1">
        <v>45824</v>
      </c>
      <c r="F480" s="2">
        <v>1804698.37</v>
      </c>
    </row>
    <row r="481" spans="1:6" x14ac:dyDescent="0.25">
      <c r="A481" t="s">
        <v>184</v>
      </c>
      <c r="B481">
        <v>1</v>
      </c>
      <c r="C481" s="2">
        <v>2669938.06</v>
      </c>
      <c r="D481" s="2" t="s">
        <v>390</v>
      </c>
      <c r="E481" s="1">
        <v>44726</v>
      </c>
      <c r="F481" s="2">
        <v>2669938.06</v>
      </c>
    </row>
    <row r="482" spans="1:6" x14ac:dyDescent="0.25">
      <c r="A482" t="s">
        <v>184</v>
      </c>
      <c r="B482">
        <v>2</v>
      </c>
      <c r="C482" s="2">
        <v>1601962.83</v>
      </c>
      <c r="D482" s="2" t="s">
        <v>390</v>
      </c>
      <c r="E482" s="1">
        <v>45400</v>
      </c>
      <c r="F482" s="2">
        <v>1601962.83</v>
      </c>
    </row>
    <row r="483" spans="1:6" x14ac:dyDescent="0.25">
      <c r="A483" t="s">
        <v>184</v>
      </c>
      <c r="B483">
        <v>3</v>
      </c>
      <c r="C483" s="2">
        <v>1067975.22</v>
      </c>
      <c r="D483" s="2" t="s">
        <v>390</v>
      </c>
      <c r="E483" s="1">
        <v>45716</v>
      </c>
      <c r="F483" s="2">
        <v>1067975.22</v>
      </c>
    </row>
    <row r="484" spans="1:6" x14ac:dyDescent="0.25">
      <c r="A484" t="s">
        <v>185</v>
      </c>
      <c r="B484">
        <v>1</v>
      </c>
      <c r="C484" s="2">
        <v>170000</v>
      </c>
      <c r="D484" s="2" t="s">
        <v>390</v>
      </c>
      <c r="E484" s="1">
        <v>45139</v>
      </c>
      <c r="F484" s="2">
        <v>170000</v>
      </c>
    </row>
    <row r="485" spans="1:6" x14ac:dyDescent="0.25">
      <c r="A485" t="s">
        <v>185</v>
      </c>
      <c r="B485">
        <v>2</v>
      </c>
      <c r="C485" s="2">
        <v>165000</v>
      </c>
      <c r="D485" s="2" t="s">
        <v>390</v>
      </c>
      <c r="E485" s="1">
        <v>45653</v>
      </c>
      <c r="F485" s="2">
        <v>165000</v>
      </c>
    </row>
    <row r="486" spans="1:6" x14ac:dyDescent="0.25">
      <c r="A486" t="s">
        <v>185</v>
      </c>
      <c r="B486">
        <v>3</v>
      </c>
      <c r="C486" s="2">
        <v>165000</v>
      </c>
      <c r="D486" s="2" t="s">
        <v>390</v>
      </c>
      <c r="E486" s="1">
        <v>45791</v>
      </c>
      <c r="F486" s="2">
        <v>165000</v>
      </c>
    </row>
    <row r="487" spans="1:6" x14ac:dyDescent="0.25">
      <c r="A487" t="s">
        <v>186</v>
      </c>
      <c r="B487">
        <v>1</v>
      </c>
      <c r="C487" s="2">
        <v>100000</v>
      </c>
      <c r="D487" s="2" t="s">
        <v>390</v>
      </c>
      <c r="E487" s="1">
        <v>45477</v>
      </c>
      <c r="F487" s="2">
        <v>100000</v>
      </c>
    </row>
    <row r="488" spans="1:6" x14ac:dyDescent="0.25">
      <c r="A488" t="s">
        <v>186</v>
      </c>
      <c r="B488">
        <v>2</v>
      </c>
      <c r="C488" s="2">
        <v>1804698.37</v>
      </c>
      <c r="D488" s="2" t="s">
        <v>390</v>
      </c>
      <c r="E488" s="1">
        <v>45856</v>
      </c>
      <c r="F488" s="2">
        <v>1804698.37</v>
      </c>
    </row>
    <row r="489" spans="1:6" x14ac:dyDescent="0.25">
      <c r="A489" t="s">
        <v>188</v>
      </c>
      <c r="B489">
        <v>1</v>
      </c>
      <c r="C489" s="2">
        <v>60000.4</v>
      </c>
      <c r="D489" s="2" t="s">
        <v>390</v>
      </c>
      <c r="E489" s="1">
        <v>42549</v>
      </c>
      <c r="F489" s="2">
        <v>60000.4</v>
      </c>
    </row>
    <row r="490" spans="1:6" x14ac:dyDescent="0.25">
      <c r="A490" t="s">
        <v>188</v>
      </c>
      <c r="B490">
        <v>2</v>
      </c>
      <c r="C490" s="2">
        <v>70000</v>
      </c>
      <c r="D490" s="2" t="s">
        <v>390</v>
      </c>
      <c r="E490" s="1">
        <v>44659</v>
      </c>
      <c r="F490" s="2">
        <v>70000</v>
      </c>
    </row>
    <row r="491" spans="1:6" x14ac:dyDescent="0.25">
      <c r="A491" t="s">
        <v>188</v>
      </c>
      <c r="B491">
        <v>3</v>
      </c>
      <c r="C491" s="2">
        <v>70000</v>
      </c>
      <c r="D491" s="2" t="s">
        <v>390</v>
      </c>
      <c r="E491" s="1">
        <v>45002</v>
      </c>
      <c r="F491" s="2">
        <v>70000</v>
      </c>
    </row>
    <row r="492" spans="1:6" x14ac:dyDescent="0.25">
      <c r="A492" t="s">
        <v>189</v>
      </c>
      <c r="B492">
        <v>1</v>
      </c>
      <c r="C492" s="2">
        <v>2484365.85</v>
      </c>
      <c r="D492" s="2" t="s">
        <v>390</v>
      </c>
      <c r="E492" s="1">
        <v>44718</v>
      </c>
      <c r="F492" s="2">
        <v>2484365.85</v>
      </c>
    </row>
    <row r="493" spans="1:6" x14ac:dyDescent="0.25">
      <c r="A493" t="s">
        <v>189</v>
      </c>
      <c r="B493">
        <v>2</v>
      </c>
      <c r="C493" s="2">
        <v>2765741.81</v>
      </c>
      <c r="D493" s="2" t="s">
        <v>390</v>
      </c>
      <c r="E493" s="1">
        <v>45404</v>
      </c>
      <c r="F493" s="2">
        <v>2765741.81</v>
      </c>
    </row>
    <row r="494" spans="1:6" x14ac:dyDescent="0.25">
      <c r="A494" t="s">
        <v>189</v>
      </c>
      <c r="B494">
        <v>3</v>
      </c>
      <c r="C494" s="2">
        <v>1953515.57</v>
      </c>
      <c r="D494" s="2" t="s">
        <v>391</v>
      </c>
      <c r="E494" s="1"/>
      <c r="F494" s="2"/>
    </row>
    <row r="495" spans="1:6" x14ac:dyDescent="0.25">
      <c r="A495" t="s">
        <v>189</v>
      </c>
      <c r="B495">
        <v>4</v>
      </c>
      <c r="C495" s="2">
        <v>545380.88</v>
      </c>
      <c r="D495" s="2" t="s">
        <v>391</v>
      </c>
      <c r="E495" s="1"/>
      <c r="F495" s="2"/>
    </row>
    <row r="496" spans="1:6" x14ac:dyDescent="0.25">
      <c r="A496" t="s">
        <v>190</v>
      </c>
      <c r="B496">
        <v>1</v>
      </c>
      <c r="C496" s="2">
        <v>349443.61</v>
      </c>
      <c r="D496" s="2" t="s">
        <v>390</v>
      </c>
      <c r="E496" s="1">
        <v>44705</v>
      </c>
      <c r="F496" s="2">
        <v>349443.61</v>
      </c>
    </row>
    <row r="497" spans="1:6" x14ac:dyDescent="0.25">
      <c r="A497" t="s">
        <v>190</v>
      </c>
      <c r="B497">
        <v>2</v>
      </c>
      <c r="C497" s="2">
        <v>349443.61</v>
      </c>
      <c r="D497" s="2" t="s">
        <v>390</v>
      </c>
      <c r="E497" s="1">
        <v>44991</v>
      </c>
      <c r="F497" s="2">
        <v>349443.61</v>
      </c>
    </row>
    <row r="498" spans="1:6" x14ac:dyDescent="0.25">
      <c r="A498" t="s">
        <v>190</v>
      </c>
      <c r="B498">
        <v>3</v>
      </c>
      <c r="C498" s="2">
        <v>349443.61</v>
      </c>
      <c r="D498" s="2" t="s">
        <v>390</v>
      </c>
      <c r="E498" s="1">
        <v>45404</v>
      </c>
      <c r="F498" s="2">
        <v>349443.61</v>
      </c>
    </row>
    <row r="499" spans="1:6" x14ac:dyDescent="0.25">
      <c r="A499" t="s">
        <v>404</v>
      </c>
      <c r="B499">
        <v>1</v>
      </c>
      <c r="C499" s="2">
        <v>800000</v>
      </c>
      <c r="D499" s="2" t="s">
        <v>390</v>
      </c>
      <c r="E499" s="1">
        <v>44601</v>
      </c>
      <c r="F499" s="2">
        <v>800000</v>
      </c>
    </row>
    <row r="500" spans="1:6" x14ac:dyDescent="0.25">
      <c r="A500" t="s">
        <v>404</v>
      </c>
      <c r="B500">
        <v>2</v>
      </c>
      <c r="C500" s="2">
        <v>600000</v>
      </c>
      <c r="D500" s="2" t="s">
        <v>390</v>
      </c>
      <c r="E500" s="1">
        <v>45044</v>
      </c>
      <c r="F500" s="2">
        <v>600000</v>
      </c>
    </row>
    <row r="501" spans="1:6" x14ac:dyDescent="0.25">
      <c r="A501" t="s">
        <v>404</v>
      </c>
      <c r="B501">
        <v>3</v>
      </c>
      <c r="C501" s="2">
        <v>600000</v>
      </c>
      <c r="D501" s="2" t="s">
        <v>390</v>
      </c>
      <c r="E501" s="1">
        <v>45287</v>
      </c>
      <c r="F501" s="2">
        <v>600000</v>
      </c>
    </row>
    <row r="502" spans="1:6" x14ac:dyDescent="0.25">
      <c r="A502" t="s">
        <v>192</v>
      </c>
      <c r="B502">
        <v>1</v>
      </c>
      <c r="C502" s="2">
        <v>686877.12</v>
      </c>
      <c r="D502" s="2" t="s">
        <v>390</v>
      </c>
      <c r="E502" s="1">
        <v>44704</v>
      </c>
      <c r="F502" s="2">
        <v>686877.12</v>
      </c>
    </row>
    <row r="503" spans="1:6" x14ac:dyDescent="0.25">
      <c r="A503" t="s">
        <v>192</v>
      </c>
      <c r="B503">
        <v>2</v>
      </c>
      <c r="C503" s="2">
        <v>686877.12</v>
      </c>
      <c r="D503" s="2" t="s">
        <v>390</v>
      </c>
      <c r="E503" s="1">
        <v>45278</v>
      </c>
      <c r="F503" s="2">
        <v>686877.12</v>
      </c>
    </row>
    <row r="504" spans="1:6" x14ac:dyDescent="0.25">
      <c r="A504" t="s">
        <v>192</v>
      </c>
      <c r="B504">
        <v>3</v>
      </c>
      <c r="C504" s="2">
        <v>686877.12</v>
      </c>
      <c r="D504" s="2" t="s">
        <v>391</v>
      </c>
      <c r="E504" s="1"/>
      <c r="F504" s="2"/>
    </row>
    <row r="505" spans="1:6" x14ac:dyDescent="0.25">
      <c r="A505" t="s">
        <v>193</v>
      </c>
      <c r="B505">
        <v>1</v>
      </c>
      <c r="C505" s="2">
        <v>286714.02</v>
      </c>
      <c r="D505" s="2" t="s">
        <v>390</v>
      </c>
      <c r="E505" s="1">
        <v>45016</v>
      </c>
      <c r="F505" s="2">
        <v>286714.02</v>
      </c>
    </row>
    <row r="506" spans="1:6" x14ac:dyDescent="0.25">
      <c r="A506" t="s">
        <v>193</v>
      </c>
      <c r="B506">
        <v>2</v>
      </c>
      <c r="C506" s="2">
        <v>63285.98</v>
      </c>
      <c r="D506" s="2" t="s">
        <v>390</v>
      </c>
      <c r="E506" s="1">
        <v>45849</v>
      </c>
      <c r="F506" s="2">
        <v>63285.98</v>
      </c>
    </row>
    <row r="507" spans="1:6" x14ac:dyDescent="0.25">
      <c r="A507" t="s">
        <v>195</v>
      </c>
      <c r="B507">
        <v>1</v>
      </c>
      <c r="C507" s="2">
        <v>199994.39</v>
      </c>
      <c r="D507" s="2" t="s">
        <v>390</v>
      </c>
      <c r="E507" s="1">
        <v>44740</v>
      </c>
      <c r="F507" s="2">
        <v>199994.39</v>
      </c>
    </row>
    <row r="508" spans="1:6" x14ac:dyDescent="0.25">
      <c r="A508" t="s">
        <v>195</v>
      </c>
      <c r="B508">
        <v>2</v>
      </c>
      <c r="C508" s="2">
        <v>199994.4</v>
      </c>
      <c r="D508" s="2" t="s">
        <v>390</v>
      </c>
      <c r="E508" s="1">
        <v>45279</v>
      </c>
      <c r="F508" s="2">
        <v>199994.4</v>
      </c>
    </row>
    <row r="509" spans="1:6" x14ac:dyDescent="0.25">
      <c r="A509" t="s">
        <v>196</v>
      </c>
      <c r="B509">
        <v>1</v>
      </c>
      <c r="C509" s="2">
        <v>350000</v>
      </c>
      <c r="D509" s="2" t="s">
        <v>390</v>
      </c>
      <c r="E509" s="1">
        <v>44740</v>
      </c>
      <c r="F509" s="2">
        <v>350000</v>
      </c>
    </row>
    <row r="510" spans="1:6" x14ac:dyDescent="0.25">
      <c r="A510" t="s">
        <v>196</v>
      </c>
      <c r="B510">
        <v>2</v>
      </c>
      <c r="C510" s="2">
        <v>850000</v>
      </c>
      <c r="D510" s="2" t="s">
        <v>390</v>
      </c>
      <c r="E510" s="1">
        <v>45287</v>
      </c>
      <c r="F510" s="2">
        <v>350000</v>
      </c>
    </row>
    <row r="511" spans="1:6" x14ac:dyDescent="0.25">
      <c r="A511" t="s">
        <v>196</v>
      </c>
      <c r="B511">
        <v>3</v>
      </c>
      <c r="C511" s="2">
        <v>500000</v>
      </c>
      <c r="D511" s="2" t="s">
        <v>391</v>
      </c>
      <c r="E511" s="1"/>
      <c r="F511" s="2"/>
    </row>
    <row r="512" spans="1:6" x14ac:dyDescent="0.25">
      <c r="A512" t="s">
        <v>197</v>
      </c>
      <c r="B512">
        <v>1</v>
      </c>
      <c r="C512" s="2">
        <v>167358.85999999999</v>
      </c>
      <c r="D512" s="2" t="s">
        <v>390</v>
      </c>
      <c r="E512" s="1">
        <v>44743</v>
      </c>
      <c r="F512" s="2">
        <v>167358.85999999999</v>
      </c>
    </row>
    <row r="513" spans="1:6" x14ac:dyDescent="0.25">
      <c r="A513" t="s">
        <v>197</v>
      </c>
      <c r="B513">
        <v>2</v>
      </c>
      <c r="C513" s="2">
        <v>167358.85999999999</v>
      </c>
      <c r="D513" s="2" t="s">
        <v>390</v>
      </c>
      <c r="E513" s="1">
        <v>45287</v>
      </c>
      <c r="F513" s="2">
        <v>167358.85999999999</v>
      </c>
    </row>
    <row r="514" spans="1:6" x14ac:dyDescent="0.25">
      <c r="A514" t="s">
        <v>197</v>
      </c>
      <c r="B514">
        <v>3</v>
      </c>
      <c r="C514" s="2">
        <v>167358.85</v>
      </c>
      <c r="D514" s="2" t="s">
        <v>391</v>
      </c>
      <c r="E514" s="1"/>
      <c r="F514" s="2"/>
    </row>
    <row r="515" spans="1:6" x14ac:dyDescent="0.25">
      <c r="A515" t="s">
        <v>199</v>
      </c>
      <c r="B515">
        <v>1</v>
      </c>
      <c r="C515" s="2">
        <v>299303.2</v>
      </c>
      <c r="D515" s="2" t="s">
        <v>390</v>
      </c>
      <c r="E515" s="1">
        <v>45083</v>
      </c>
      <c r="F515" s="2">
        <v>299303.2</v>
      </c>
    </row>
    <row r="516" spans="1:6" x14ac:dyDescent="0.25">
      <c r="A516" t="s">
        <v>199</v>
      </c>
      <c r="B516">
        <v>2</v>
      </c>
      <c r="C516" s="2">
        <v>1272675.3</v>
      </c>
      <c r="D516" s="2" t="s">
        <v>391</v>
      </c>
      <c r="E516" s="1"/>
      <c r="F516" s="2"/>
    </row>
    <row r="517" spans="1:6" x14ac:dyDescent="0.25">
      <c r="A517" t="s">
        <v>199</v>
      </c>
      <c r="B517">
        <v>3</v>
      </c>
      <c r="C517" s="2">
        <v>1393772.53</v>
      </c>
      <c r="D517" s="2" t="s">
        <v>391</v>
      </c>
      <c r="E517" s="1"/>
      <c r="F517" s="2"/>
    </row>
    <row r="518" spans="1:6" x14ac:dyDescent="0.25">
      <c r="A518" t="s">
        <v>199</v>
      </c>
      <c r="B518">
        <v>4</v>
      </c>
      <c r="C518" s="2">
        <v>34248.97</v>
      </c>
      <c r="D518" s="2" t="s">
        <v>391</v>
      </c>
      <c r="E518" s="1"/>
      <c r="F518" s="2"/>
    </row>
    <row r="519" spans="1:6" x14ac:dyDescent="0.25">
      <c r="A519" t="s">
        <v>201</v>
      </c>
      <c r="B519">
        <v>1</v>
      </c>
      <c r="C519" s="2">
        <v>4610604.1900000004</v>
      </c>
      <c r="D519" s="2" t="s">
        <v>390</v>
      </c>
      <c r="E519" s="1">
        <v>45460</v>
      </c>
      <c r="F519" s="2">
        <v>4610604.1900000004</v>
      </c>
    </row>
    <row r="520" spans="1:6" x14ac:dyDescent="0.25">
      <c r="A520" t="s">
        <v>201</v>
      </c>
      <c r="B520">
        <v>2</v>
      </c>
      <c r="C520" s="2">
        <v>2494029.4900000002</v>
      </c>
      <c r="D520" s="2" t="s">
        <v>390</v>
      </c>
      <c r="E520" s="1">
        <v>45460</v>
      </c>
      <c r="F520" s="2">
        <v>2494029.4900000002</v>
      </c>
    </row>
    <row r="521" spans="1:6" x14ac:dyDescent="0.25">
      <c r="A521" t="s">
        <v>201</v>
      </c>
      <c r="B521">
        <v>3</v>
      </c>
      <c r="C521" s="2">
        <v>3071222.73</v>
      </c>
      <c r="D521" s="2" t="s">
        <v>391</v>
      </c>
      <c r="E521" s="1"/>
      <c r="F521" s="2"/>
    </row>
    <row r="522" spans="1:6" x14ac:dyDescent="0.25">
      <c r="A522" t="s">
        <v>201</v>
      </c>
      <c r="B522">
        <v>4</v>
      </c>
      <c r="C522" s="2">
        <v>723060.03</v>
      </c>
      <c r="D522" s="2" t="s">
        <v>391</v>
      </c>
      <c r="E522" s="1"/>
      <c r="F522" s="2"/>
    </row>
    <row r="523" spans="1:6" x14ac:dyDescent="0.25">
      <c r="A523" t="s">
        <v>203</v>
      </c>
      <c r="B523">
        <v>1</v>
      </c>
      <c r="C523" s="2">
        <v>61834.75</v>
      </c>
      <c r="D523" s="2" t="s">
        <v>390</v>
      </c>
      <c r="E523" s="1">
        <v>45040</v>
      </c>
      <c r="F523" s="2">
        <v>61834.75</v>
      </c>
    </row>
    <row r="524" spans="1:6" x14ac:dyDescent="0.25">
      <c r="A524" t="s">
        <v>203</v>
      </c>
      <c r="B524">
        <v>2</v>
      </c>
      <c r="C524" s="2">
        <v>332330.2</v>
      </c>
      <c r="D524" s="2" t="s">
        <v>390</v>
      </c>
      <c r="E524" s="1">
        <v>45404</v>
      </c>
      <c r="F524" s="2">
        <v>332330.2</v>
      </c>
    </row>
    <row r="525" spans="1:6" x14ac:dyDescent="0.25">
      <c r="A525" t="s">
        <v>204</v>
      </c>
      <c r="B525">
        <v>1</v>
      </c>
      <c r="C525" s="2">
        <v>189370.07</v>
      </c>
      <c r="D525" s="2" t="s">
        <v>390</v>
      </c>
      <c r="E525" s="1">
        <v>44673</v>
      </c>
      <c r="F525" s="2">
        <v>189370.07</v>
      </c>
    </row>
    <row r="526" spans="1:6" x14ac:dyDescent="0.25">
      <c r="A526" t="s">
        <v>205</v>
      </c>
      <c r="B526">
        <v>1</v>
      </c>
      <c r="C526" s="2">
        <v>197000</v>
      </c>
      <c r="D526" s="2" t="s">
        <v>390</v>
      </c>
      <c r="E526" s="1">
        <v>44741</v>
      </c>
      <c r="F526" s="2">
        <v>197000</v>
      </c>
    </row>
    <row r="527" spans="1:6" x14ac:dyDescent="0.25">
      <c r="A527" t="s">
        <v>205</v>
      </c>
      <c r="B527">
        <v>2</v>
      </c>
      <c r="C527" s="2">
        <v>197000</v>
      </c>
      <c r="D527" s="2" t="s">
        <v>390</v>
      </c>
      <c r="E527" s="1">
        <v>45275</v>
      </c>
      <c r="F527" s="2">
        <v>197000</v>
      </c>
    </row>
    <row r="528" spans="1:6" x14ac:dyDescent="0.25">
      <c r="A528" t="s">
        <v>206</v>
      </c>
      <c r="B528">
        <v>1</v>
      </c>
      <c r="C528" s="2">
        <v>140603.5</v>
      </c>
      <c r="D528" s="2" t="s">
        <v>390</v>
      </c>
      <c r="E528" s="1">
        <v>44741</v>
      </c>
      <c r="F528" s="2">
        <v>140603.5</v>
      </c>
    </row>
    <row r="529" spans="1:6" x14ac:dyDescent="0.25">
      <c r="A529" t="s">
        <v>206</v>
      </c>
      <c r="B529">
        <v>2</v>
      </c>
      <c r="C529" s="2">
        <v>140603.5</v>
      </c>
      <c r="D529" s="2" t="s">
        <v>390</v>
      </c>
      <c r="E529" s="1">
        <v>45044</v>
      </c>
      <c r="F529" s="2">
        <v>140603.5</v>
      </c>
    </row>
    <row r="530" spans="1:6" x14ac:dyDescent="0.25">
      <c r="A530" t="s">
        <v>206</v>
      </c>
      <c r="B530">
        <v>3</v>
      </c>
      <c r="C530" s="2">
        <v>140603.5</v>
      </c>
      <c r="D530" s="2" t="s">
        <v>390</v>
      </c>
      <c r="E530" s="1">
        <v>45404</v>
      </c>
      <c r="F530" s="2">
        <v>140603.5</v>
      </c>
    </row>
    <row r="531" spans="1:6" x14ac:dyDescent="0.25">
      <c r="A531" t="s">
        <v>207</v>
      </c>
      <c r="B531">
        <v>1</v>
      </c>
      <c r="C531" s="2">
        <v>500000</v>
      </c>
      <c r="D531" s="2" t="s">
        <v>390</v>
      </c>
      <c r="E531" s="1">
        <v>45020</v>
      </c>
      <c r="F531" s="2">
        <v>500000</v>
      </c>
    </row>
    <row r="532" spans="1:6" x14ac:dyDescent="0.25">
      <c r="A532" t="s">
        <v>207</v>
      </c>
      <c r="B532">
        <v>2</v>
      </c>
      <c r="C532" s="2">
        <v>1370549.2</v>
      </c>
      <c r="D532" s="2" t="s">
        <v>390</v>
      </c>
      <c r="E532" s="1">
        <v>45937</v>
      </c>
      <c r="F532" s="2">
        <v>1370549.2</v>
      </c>
    </row>
    <row r="533" spans="1:6" x14ac:dyDescent="0.25">
      <c r="A533" t="s">
        <v>207</v>
      </c>
      <c r="B533">
        <v>3</v>
      </c>
      <c r="C533" s="2">
        <v>1370549.2</v>
      </c>
      <c r="D533" s="2" t="s">
        <v>390</v>
      </c>
      <c r="E533" s="1">
        <v>45937</v>
      </c>
      <c r="F533" s="2">
        <v>1370549.2</v>
      </c>
    </row>
    <row r="534" spans="1:6" x14ac:dyDescent="0.25">
      <c r="A534" t="s">
        <v>207</v>
      </c>
      <c r="B534">
        <v>4</v>
      </c>
      <c r="C534" s="2">
        <v>1370549.2</v>
      </c>
      <c r="D534" s="2" t="s">
        <v>391</v>
      </c>
      <c r="E534" s="1"/>
      <c r="F534" s="2"/>
    </row>
    <row r="535" spans="1:6" x14ac:dyDescent="0.25">
      <c r="A535" t="s">
        <v>207</v>
      </c>
      <c r="B535">
        <v>5</v>
      </c>
      <c r="C535" s="2">
        <v>1370549.2</v>
      </c>
      <c r="D535" s="2" t="s">
        <v>391</v>
      </c>
      <c r="E535" s="1"/>
      <c r="F535" s="2"/>
    </row>
    <row r="536" spans="1:6" x14ac:dyDescent="0.25">
      <c r="A536" t="s">
        <v>207</v>
      </c>
      <c r="B536">
        <v>6</v>
      </c>
      <c r="C536" s="2">
        <v>1370549.2</v>
      </c>
      <c r="D536" s="2" t="s">
        <v>391</v>
      </c>
      <c r="E536" s="1"/>
      <c r="F536" s="2"/>
    </row>
    <row r="537" spans="1:6" x14ac:dyDescent="0.25">
      <c r="A537" t="s">
        <v>405</v>
      </c>
      <c r="B537">
        <v>1</v>
      </c>
      <c r="C537" s="2">
        <v>294036.78000000003</v>
      </c>
      <c r="D537" s="2" t="s">
        <v>390</v>
      </c>
      <c r="E537" s="1">
        <v>45405</v>
      </c>
      <c r="F537" s="2">
        <v>294036.78000000003</v>
      </c>
    </row>
    <row r="538" spans="1:6" x14ac:dyDescent="0.25">
      <c r="A538" t="s">
        <v>405</v>
      </c>
      <c r="B538">
        <v>2</v>
      </c>
      <c r="C538" s="2">
        <v>294036.78999999998</v>
      </c>
      <c r="D538" s="2" t="s">
        <v>390</v>
      </c>
      <c r="E538" s="1">
        <v>45908</v>
      </c>
      <c r="F538" s="2">
        <v>294036.78999999998</v>
      </c>
    </row>
    <row r="539" spans="1:6" x14ac:dyDescent="0.25">
      <c r="A539" t="s">
        <v>406</v>
      </c>
      <c r="B539">
        <v>1</v>
      </c>
      <c r="C539" s="2">
        <v>696382.05</v>
      </c>
      <c r="D539" s="2" t="s">
        <v>390</v>
      </c>
      <c r="E539" s="1">
        <v>45398</v>
      </c>
      <c r="F539" s="2">
        <v>696382.05</v>
      </c>
    </row>
    <row r="540" spans="1:6" x14ac:dyDescent="0.25">
      <c r="A540" t="s">
        <v>406</v>
      </c>
      <c r="B540">
        <v>2</v>
      </c>
      <c r="C540" s="2">
        <v>696382.06</v>
      </c>
      <c r="D540" s="2" t="s">
        <v>391</v>
      </c>
      <c r="E540" s="1"/>
      <c r="F540" s="2"/>
    </row>
    <row r="541" spans="1:6" x14ac:dyDescent="0.25">
      <c r="A541" t="s">
        <v>209</v>
      </c>
      <c r="B541">
        <v>1</v>
      </c>
      <c r="C541" s="2">
        <v>1200020</v>
      </c>
      <c r="D541" s="2" t="s">
        <v>390</v>
      </c>
      <c r="E541" s="1">
        <v>45351</v>
      </c>
      <c r="F541" s="2">
        <v>1200020</v>
      </c>
    </row>
    <row r="542" spans="1:6" x14ac:dyDescent="0.25">
      <c r="A542" t="s">
        <v>209</v>
      </c>
      <c r="B542">
        <v>2</v>
      </c>
      <c r="C542" s="2">
        <v>1200020.96</v>
      </c>
      <c r="D542" s="2" t="s">
        <v>390</v>
      </c>
      <c r="E542" s="1">
        <v>45653</v>
      </c>
      <c r="F542" s="2">
        <v>1200020.96</v>
      </c>
    </row>
    <row r="543" spans="1:6" x14ac:dyDescent="0.25">
      <c r="A543" t="s">
        <v>211</v>
      </c>
      <c r="B543">
        <v>1</v>
      </c>
      <c r="C543" s="2">
        <v>114527.53</v>
      </c>
      <c r="D543" s="2" t="s">
        <v>390</v>
      </c>
      <c r="E543" s="1">
        <v>44740</v>
      </c>
      <c r="F543" s="2">
        <v>114527.53</v>
      </c>
    </row>
    <row r="544" spans="1:6" x14ac:dyDescent="0.25">
      <c r="A544" t="s">
        <v>211</v>
      </c>
      <c r="B544">
        <v>2</v>
      </c>
      <c r="C544" s="2">
        <v>85472.47</v>
      </c>
      <c r="D544" s="2" t="s">
        <v>390</v>
      </c>
      <c r="E544" s="1">
        <v>45197</v>
      </c>
      <c r="F544" s="2">
        <v>85472.47</v>
      </c>
    </row>
    <row r="545" spans="1:6" x14ac:dyDescent="0.25">
      <c r="A545" t="s">
        <v>212</v>
      </c>
      <c r="B545">
        <v>1</v>
      </c>
      <c r="C545" s="2">
        <v>391359.53</v>
      </c>
      <c r="D545" s="2" t="s">
        <v>390</v>
      </c>
      <c r="E545" s="1">
        <v>44740</v>
      </c>
      <c r="F545" s="2">
        <v>391359.53</v>
      </c>
    </row>
    <row r="546" spans="1:6" x14ac:dyDescent="0.25">
      <c r="A546" t="s">
        <v>212</v>
      </c>
      <c r="B546">
        <v>2</v>
      </c>
      <c r="C546" s="2">
        <v>1487166.23</v>
      </c>
      <c r="D546" s="2" t="s">
        <v>390</v>
      </c>
      <c r="E546" s="1">
        <v>45415</v>
      </c>
      <c r="F546" s="2">
        <v>1487166.23</v>
      </c>
    </row>
    <row r="547" spans="1:6" x14ac:dyDescent="0.25">
      <c r="A547" t="s">
        <v>212</v>
      </c>
      <c r="B547">
        <v>3</v>
      </c>
      <c r="C547" s="2">
        <v>730537.79</v>
      </c>
      <c r="D547" s="2" t="s">
        <v>390</v>
      </c>
      <c r="E547" s="1">
        <v>45777</v>
      </c>
      <c r="F547" s="2">
        <v>730537.79</v>
      </c>
    </row>
    <row r="548" spans="1:6" x14ac:dyDescent="0.25">
      <c r="A548" t="s">
        <v>213</v>
      </c>
      <c r="B548">
        <v>1</v>
      </c>
      <c r="C548" s="2">
        <v>285000</v>
      </c>
      <c r="D548" s="2" t="s">
        <v>390</v>
      </c>
      <c r="E548" s="1">
        <v>44743</v>
      </c>
      <c r="F548" s="2">
        <v>285000</v>
      </c>
    </row>
    <row r="549" spans="1:6" x14ac:dyDescent="0.25">
      <c r="A549" t="s">
        <v>213</v>
      </c>
      <c r="B549">
        <v>2</v>
      </c>
      <c r="C549" s="2">
        <v>950000</v>
      </c>
      <c r="D549" s="2" t="s">
        <v>390</v>
      </c>
      <c r="E549" s="1">
        <v>45653</v>
      </c>
      <c r="F549" s="2">
        <v>950000</v>
      </c>
    </row>
    <row r="550" spans="1:6" x14ac:dyDescent="0.25">
      <c r="A550" t="s">
        <v>213</v>
      </c>
      <c r="B550">
        <v>3</v>
      </c>
      <c r="C550" s="2">
        <v>665000</v>
      </c>
      <c r="D550" s="2" t="s">
        <v>391</v>
      </c>
      <c r="E550" s="1"/>
      <c r="F550" s="2"/>
    </row>
    <row r="551" spans="1:6" x14ac:dyDescent="0.25">
      <c r="A551" t="s">
        <v>214</v>
      </c>
      <c r="B551">
        <v>1</v>
      </c>
      <c r="C551" s="2">
        <v>42840.7</v>
      </c>
      <c r="D551" s="2" t="s">
        <v>390</v>
      </c>
      <c r="E551" s="1">
        <v>44999</v>
      </c>
      <c r="F551" s="2">
        <v>42840.7</v>
      </c>
    </row>
    <row r="552" spans="1:6" x14ac:dyDescent="0.25">
      <c r="A552" t="s">
        <v>214</v>
      </c>
      <c r="B552">
        <v>2</v>
      </c>
      <c r="C552" s="2">
        <v>36578.33</v>
      </c>
      <c r="D552" s="2" t="s">
        <v>390</v>
      </c>
      <c r="E552" s="1">
        <v>45287</v>
      </c>
      <c r="F552" s="2">
        <v>36578.33</v>
      </c>
    </row>
    <row r="553" spans="1:6" x14ac:dyDescent="0.25">
      <c r="A553" t="s">
        <v>216</v>
      </c>
      <c r="B553">
        <v>1</v>
      </c>
      <c r="C553" s="2">
        <v>273931.25</v>
      </c>
      <c r="D553" s="2" t="s">
        <v>390</v>
      </c>
      <c r="E553" s="1">
        <v>44743</v>
      </c>
      <c r="F553" s="2">
        <v>273931.25</v>
      </c>
    </row>
    <row r="554" spans="1:6" x14ac:dyDescent="0.25">
      <c r="A554" t="s">
        <v>216</v>
      </c>
      <c r="B554">
        <v>2</v>
      </c>
      <c r="C554" s="2">
        <v>2036818.74</v>
      </c>
      <c r="D554" s="2" t="s">
        <v>390</v>
      </c>
      <c r="E554" s="1">
        <v>45267</v>
      </c>
      <c r="F554" s="2">
        <v>2036818.74</v>
      </c>
    </row>
    <row r="555" spans="1:6" x14ac:dyDescent="0.25">
      <c r="A555" t="s">
        <v>216</v>
      </c>
      <c r="B555">
        <v>3</v>
      </c>
      <c r="C555" s="2">
        <v>2036818.74</v>
      </c>
      <c r="D555" s="2" t="s">
        <v>390</v>
      </c>
      <c r="E555" s="1">
        <v>45469</v>
      </c>
      <c r="F555" s="2">
        <v>2036818.74</v>
      </c>
    </row>
    <row r="556" spans="1:6" x14ac:dyDescent="0.25">
      <c r="A556" t="s">
        <v>216</v>
      </c>
      <c r="B556">
        <v>4</v>
      </c>
      <c r="C556" s="2">
        <v>1419074.32</v>
      </c>
      <c r="D556" s="2" t="s">
        <v>390</v>
      </c>
      <c r="E556" s="1">
        <v>45775</v>
      </c>
      <c r="F556" s="2">
        <v>1419074.32</v>
      </c>
    </row>
    <row r="557" spans="1:6" x14ac:dyDescent="0.25">
      <c r="A557" t="s">
        <v>218</v>
      </c>
      <c r="B557">
        <v>1</v>
      </c>
      <c r="C557" s="2">
        <v>200000</v>
      </c>
      <c r="D557" s="2" t="s">
        <v>390</v>
      </c>
      <c r="E557" s="1">
        <v>44721</v>
      </c>
      <c r="F557" s="2">
        <v>200000</v>
      </c>
    </row>
    <row r="558" spans="1:6" x14ac:dyDescent="0.25">
      <c r="A558" t="s">
        <v>218</v>
      </c>
      <c r="B558">
        <v>2</v>
      </c>
      <c r="C558" s="2">
        <v>200000</v>
      </c>
      <c r="D558" s="2" t="s">
        <v>390</v>
      </c>
      <c r="E558" s="1">
        <v>44908</v>
      </c>
      <c r="F558" s="2">
        <v>200000</v>
      </c>
    </row>
    <row r="559" spans="1:6" x14ac:dyDescent="0.25">
      <c r="A559" t="s">
        <v>219</v>
      </c>
      <c r="B559">
        <v>1</v>
      </c>
      <c r="C559" s="2">
        <v>214435.98</v>
      </c>
      <c r="D559" s="2" t="s">
        <v>390</v>
      </c>
      <c r="E559" s="1">
        <v>45021</v>
      </c>
      <c r="F559" s="2">
        <v>214435.98</v>
      </c>
    </row>
    <row r="560" spans="1:6" x14ac:dyDescent="0.25">
      <c r="A560" t="s">
        <v>219</v>
      </c>
      <c r="B560">
        <v>2</v>
      </c>
      <c r="C560" s="2">
        <v>724296.83</v>
      </c>
      <c r="D560" s="2" t="s">
        <v>390</v>
      </c>
      <c r="E560" s="1">
        <v>45411</v>
      </c>
      <c r="F560" s="2">
        <v>724296.83</v>
      </c>
    </row>
    <row r="561" spans="1:6" x14ac:dyDescent="0.25">
      <c r="A561" t="s">
        <v>220</v>
      </c>
      <c r="B561">
        <v>1</v>
      </c>
      <c r="C561" s="2">
        <v>201861.94</v>
      </c>
      <c r="D561" s="2" t="s">
        <v>390</v>
      </c>
      <c r="E561" s="1">
        <v>44741</v>
      </c>
      <c r="F561" s="2">
        <v>201861.94</v>
      </c>
    </row>
    <row r="562" spans="1:6" x14ac:dyDescent="0.25">
      <c r="A562" t="s">
        <v>220</v>
      </c>
      <c r="B562">
        <v>2</v>
      </c>
      <c r="C562" s="2">
        <v>4415573.0999999996</v>
      </c>
      <c r="D562" s="2" t="s">
        <v>390</v>
      </c>
      <c r="E562" s="1">
        <v>45044</v>
      </c>
      <c r="F562" s="2">
        <v>4415573.0999999996</v>
      </c>
    </row>
    <row r="563" spans="1:6" x14ac:dyDescent="0.25">
      <c r="A563" t="s">
        <v>220</v>
      </c>
      <c r="B563">
        <v>3</v>
      </c>
      <c r="C563" s="2">
        <v>3891803.17</v>
      </c>
      <c r="D563" s="2" t="s">
        <v>390</v>
      </c>
      <c r="E563" s="1">
        <v>45632</v>
      </c>
      <c r="F563" s="2">
        <v>3891803.17</v>
      </c>
    </row>
    <row r="564" spans="1:6" x14ac:dyDescent="0.25">
      <c r="A564" t="s">
        <v>221</v>
      </c>
      <c r="B564">
        <v>1</v>
      </c>
      <c r="C564" s="2">
        <v>220812.37</v>
      </c>
      <c r="D564" s="2" t="s">
        <v>390</v>
      </c>
      <c r="E564" s="1">
        <v>44743</v>
      </c>
      <c r="F564" s="2">
        <v>220812.37</v>
      </c>
    </row>
    <row r="565" spans="1:6" x14ac:dyDescent="0.25">
      <c r="A565" t="s">
        <v>221</v>
      </c>
      <c r="B565">
        <v>2</v>
      </c>
      <c r="C565" s="2">
        <v>337134.79</v>
      </c>
      <c r="D565" s="2" t="s">
        <v>390</v>
      </c>
      <c r="E565" s="1">
        <v>45411</v>
      </c>
      <c r="F565" s="2">
        <v>337134.79</v>
      </c>
    </row>
    <row r="566" spans="1:6" x14ac:dyDescent="0.25">
      <c r="A566" t="s">
        <v>223</v>
      </c>
      <c r="B566">
        <v>1</v>
      </c>
      <c r="C566" s="2">
        <v>100000</v>
      </c>
      <c r="D566" s="2" t="s">
        <v>390</v>
      </c>
      <c r="E566" s="1">
        <v>45476</v>
      </c>
      <c r="F566" s="2">
        <v>100000</v>
      </c>
    </row>
    <row r="567" spans="1:6" x14ac:dyDescent="0.25">
      <c r="A567" t="s">
        <v>223</v>
      </c>
      <c r="B567">
        <v>2</v>
      </c>
      <c r="C567" s="2">
        <v>1804698.37</v>
      </c>
      <c r="D567" s="2" t="s">
        <v>390</v>
      </c>
      <c r="E567" s="1">
        <v>45873</v>
      </c>
      <c r="F567" s="2">
        <v>1804698.37</v>
      </c>
    </row>
    <row r="568" spans="1:6" x14ac:dyDescent="0.25">
      <c r="A568" t="s">
        <v>225</v>
      </c>
      <c r="B568">
        <v>1</v>
      </c>
      <c r="C568" s="2">
        <v>100000</v>
      </c>
      <c r="D568" s="2" t="s">
        <v>390</v>
      </c>
      <c r="E568" s="1">
        <v>45477</v>
      </c>
      <c r="F568" s="2">
        <v>100000</v>
      </c>
    </row>
    <row r="569" spans="1:6" x14ac:dyDescent="0.25">
      <c r="A569" t="s">
        <v>225</v>
      </c>
      <c r="B569">
        <v>2</v>
      </c>
      <c r="C569" s="2">
        <v>300000</v>
      </c>
      <c r="D569" s="2" t="s">
        <v>391</v>
      </c>
      <c r="E569" s="1"/>
      <c r="F569" s="2"/>
    </row>
    <row r="570" spans="1:6" x14ac:dyDescent="0.25">
      <c r="A570" t="s">
        <v>227</v>
      </c>
      <c r="B570">
        <v>1</v>
      </c>
      <c r="C570" s="2">
        <v>600000</v>
      </c>
      <c r="D570" s="2" t="s">
        <v>390</v>
      </c>
      <c r="E570" s="1">
        <v>43279</v>
      </c>
      <c r="F570" s="2">
        <v>600000</v>
      </c>
    </row>
    <row r="571" spans="1:6" x14ac:dyDescent="0.25">
      <c r="A571" t="s">
        <v>227</v>
      </c>
      <c r="B571">
        <v>2</v>
      </c>
      <c r="C571" s="2">
        <v>600000</v>
      </c>
      <c r="D571" s="2" t="s">
        <v>390</v>
      </c>
      <c r="E571" s="1">
        <v>44385</v>
      </c>
      <c r="F571" s="2">
        <v>600000</v>
      </c>
    </row>
    <row r="572" spans="1:6" x14ac:dyDescent="0.25">
      <c r="A572" t="s">
        <v>227</v>
      </c>
      <c r="B572">
        <v>3</v>
      </c>
      <c r="C572" s="2">
        <v>600000</v>
      </c>
      <c r="D572" s="2" t="s">
        <v>390</v>
      </c>
      <c r="E572" s="1">
        <v>44993</v>
      </c>
      <c r="F572" s="2">
        <v>600000</v>
      </c>
    </row>
    <row r="573" spans="1:6" x14ac:dyDescent="0.25">
      <c r="A573" t="s">
        <v>227</v>
      </c>
      <c r="B573">
        <v>4</v>
      </c>
      <c r="C573" s="2">
        <v>200000</v>
      </c>
      <c r="D573" s="2" t="s">
        <v>390</v>
      </c>
      <c r="E573" s="1">
        <v>45782</v>
      </c>
      <c r="F573" s="2">
        <v>200000</v>
      </c>
    </row>
    <row r="574" spans="1:6" x14ac:dyDescent="0.25">
      <c r="A574" t="s">
        <v>228</v>
      </c>
      <c r="B574">
        <v>1</v>
      </c>
      <c r="C574" s="2">
        <v>68600</v>
      </c>
      <c r="D574" s="2" t="s">
        <v>390</v>
      </c>
      <c r="E574" s="1">
        <v>44743</v>
      </c>
      <c r="F574" s="2">
        <v>68600</v>
      </c>
    </row>
    <row r="575" spans="1:6" x14ac:dyDescent="0.25">
      <c r="A575" t="s">
        <v>228</v>
      </c>
      <c r="B575">
        <v>2</v>
      </c>
      <c r="C575" s="2">
        <v>334934.13</v>
      </c>
      <c r="D575" s="2" t="s">
        <v>390</v>
      </c>
      <c r="E575" s="1">
        <v>45399</v>
      </c>
      <c r="F575" s="2">
        <v>334934.13</v>
      </c>
    </row>
    <row r="576" spans="1:6" x14ac:dyDescent="0.25">
      <c r="A576" t="s">
        <v>229</v>
      </c>
      <c r="B576">
        <v>1</v>
      </c>
      <c r="C576" s="2">
        <v>105302.98</v>
      </c>
      <c r="D576" s="2" t="s">
        <v>390</v>
      </c>
      <c r="E576" s="1">
        <v>44743</v>
      </c>
      <c r="F576" s="2">
        <v>105302.98</v>
      </c>
    </row>
    <row r="577" spans="1:6" x14ac:dyDescent="0.25">
      <c r="A577" t="s">
        <v>229</v>
      </c>
      <c r="B577">
        <v>2</v>
      </c>
      <c r="C577" s="2">
        <v>245706.94</v>
      </c>
      <c r="D577" s="2" t="s">
        <v>390</v>
      </c>
      <c r="E577" s="1">
        <v>45033</v>
      </c>
      <c r="F577" s="2">
        <v>245706.94</v>
      </c>
    </row>
    <row r="578" spans="1:6" x14ac:dyDescent="0.25">
      <c r="A578" t="s">
        <v>231</v>
      </c>
      <c r="B578">
        <v>1</v>
      </c>
      <c r="C578" s="2">
        <v>100000</v>
      </c>
      <c r="D578" s="2" t="s">
        <v>390</v>
      </c>
      <c r="E578" s="1">
        <v>45476</v>
      </c>
      <c r="F578" s="2">
        <v>100000</v>
      </c>
    </row>
    <row r="579" spans="1:6" x14ac:dyDescent="0.25">
      <c r="A579" t="s">
        <v>231</v>
      </c>
      <c r="B579">
        <v>2</v>
      </c>
      <c r="C579" s="2">
        <v>1804698.37</v>
      </c>
      <c r="D579" s="2" t="s">
        <v>390</v>
      </c>
      <c r="E579" s="1">
        <v>45708</v>
      </c>
      <c r="F579" s="2">
        <v>1804698.37</v>
      </c>
    </row>
    <row r="580" spans="1:6" x14ac:dyDescent="0.25">
      <c r="A580" t="s">
        <v>233</v>
      </c>
      <c r="B580">
        <v>1</v>
      </c>
      <c r="C580" s="2">
        <v>666867.17000000004</v>
      </c>
      <c r="D580" s="2" t="s">
        <v>390</v>
      </c>
      <c r="E580" s="1">
        <v>44659</v>
      </c>
      <c r="F580" s="2">
        <v>666867.17000000004</v>
      </c>
    </row>
    <row r="581" spans="1:6" x14ac:dyDescent="0.25">
      <c r="A581" t="s">
        <v>233</v>
      </c>
      <c r="B581">
        <v>2</v>
      </c>
      <c r="C581" s="2">
        <v>666867.17000000004</v>
      </c>
      <c r="D581" s="2" t="s">
        <v>390</v>
      </c>
      <c r="E581" s="1">
        <v>45016</v>
      </c>
      <c r="F581" s="2">
        <v>666867.17000000004</v>
      </c>
    </row>
    <row r="582" spans="1:6" x14ac:dyDescent="0.25">
      <c r="A582" t="s">
        <v>233</v>
      </c>
      <c r="B582">
        <v>3</v>
      </c>
      <c r="C582" s="2">
        <v>666867.17000000004</v>
      </c>
      <c r="D582" s="2" t="s">
        <v>391</v>
      </c>
      <c r="E582" s="1"/>
      <c r="F582" s="2"/>
    </row>
    <row r="583" spans="1:6" x14ac:dyDescent="0.25">
      <c r="A583" t="s">
        <v>234</v>
      </c>
      <c r="B583">
        <v>1</v>
      </c>
      <c r="C583" s="2">
        <v>1416666.67</v>
      </c>
      <c r="D583" s="2" t="s">
        <v>390</v>
      </c>
      <c r="E583" s="1">
        <v>44726</v>
      </c>
      <c r="F583" s="2">
        <v>1416666.67</v>
      </c>
    </row>
    <row r="584" spans="1:6" x14ac:dyDescent="0.25">
      <c r="A584" t="s">
        <v>234</v>
      </c>
      <c r="B584">
        <v>2</v>
      </c>
      <c r="C584" s="2">
        <v>1416666.67</v>
      </c>
      <c r="D584" s="2" t="s">
        <v>390</v>
      </c>
      <c r="E584" s="1">
        <v>45001</v>
      </c>
      <c r="F584" s="2">
        <v>1416666.67</v>
      </c>
    </row>
    <row r="585" spans="1:6" x14ac:dyDescent="0.25">
      <c r="A585" t="s">
        <v>234</v>
      </c>
      <c r="B585">
        <v>3</v>
      </c>
      <c r="C585" s="2">
        <v>1416666.67</v>
      </c>
      <c r="D585" s="2" t="s">
        <v>390</v>
      </c>
      <c r="E585" s="1">
        <v>45376</v>
      </c>
      <c r="F585" s="2">
        <v>1416666.67</v>
      </c>
    </row>
    <row r="586" spans="1:6" x14ac:dyDescent="0.25">
      <c r="A586" t="s">
        <v>234</v>
      </c>
      <c r="B586">
        <v>4</v>
      </c>
      <c r="C586" s="2">
        <v>1416666.67</v>
      </c>
      <c r="D586" s="2" t="s">
        <v>391</v>
      </c>
      <c r="E586" s="1"/>
      <c r="F586" s="2"/>
    </row>
    <row r="587" spans="1:6" x14ac:dyDescent="0.25">
      <c r="A587" t="s">
        <v>234</v>
      </c>
      <c r="B587">
        <v>5</v>
      </c>
      <c r="C587" s="2">
        <v>1416666.67</v>
      </c>
      <c r="D587" s="2" t="s">
        <v>391</v>
      </c>
      <c r="E587" s="1"/>
      <c r="F587" s="2"/>
    </row>
    <row r="588" spans="1:6" x14ac:dyDescent="0.25">
      <c r="A588" t="s">
        <v>234</v>
      </c>
      <c r="B588">
        <v>6</v>
      </c>
      <c r="C588" s="2">
        <v>1416666.65</v>
      </c>
      <c r="D588" s="2" t="s">
        <v>391</v>
      </c>
      <c r="E588" s="1"/>
      <c r="F588" s="2"/>
    </row>
    <row r="589" spans="1:6" x14ac:dyDescent="0.25">
      <c r="A589" t="s">
        <v>235</v>
      </c>
      <c r="B589">
        <v>1</v>
      </c>
      <c r="C589" s="2">
        <v>571624.69999999995</v>
      </c>
      <c r="D589" s="2" t="s">
        <v>390</v>
      </c>
      <c r="E589" s="1">
        <v>44726</v>
      </c>
      <c r="F589" s="2">
        <v>571624.69999999995</v>
      </c>
    </row>
    <row r="590" spans="1:6" x14ac:dyDescent="0.25">
      <c r="A590" t="s">
        <v>235</v>
      </c>
      <c r="B590">
        <v>2</v>
      </c>
      <c r="C590" s="2">
        <v>531116.35</v>
      </c>
      <c r="D590" s="2" t="s">
        <v>390</v>
      </c>
      <c r="E590" s="1">
        <v>45415</v>
      </c>
      <c r="F590" s="2">
        <v>531116.35</v>
      </c>
    </row>
    <row r="591" spans="1:6" x14ac:dyDescent="0.25">
      <c r="A591" t="s">
        <v>235</v>
      </c>
      <c r="B591">
        <v>3</v>
      </c>
      <c r="C591" s="2">
        <v>238878.5</v>
      </c>
      <c r="D591" s="2" t="s">
        <v>390</v>
      </c>
      <c r="E591" s="1">
        <v>45883</v>
      </c>
      <c r="F591" s="2">
        <v>238878.5</v>
      </c>
    </row>
    <row r="592" spans="1:6" x14ac:dyDescent="0.25">
      <c r="A592" t="s">
        <v>236</v>
      </c>
      <c r="B592">
        <v>1</v>
      </c>
      <c r="C592" s="2">
        <v>207424.07</v>
      </c>
      <c r="D592" s="2" t="s">
        <v>390</v>
      </c>
      <c r="E592" s="1">
        <v>45118</v>
      </c>
      <c r="F592" s="2">
        <v>207424.07</v>
      </c>
    </row>
    <row r="593" spans="1:6" x14ac:dyDescent="0.25">
      <c r="A593" t="s">
        <v>236</v>
      </c>
      <c r="B593">
        <v>2</v>
      </c>
      <c r="C593" s="2">
        <v>3196776</v>
      </c>
      <c r="D593" s="2" t="s">
        <v>390</v>
      </c>
      <c r="E593" s="1">
        <v>45415</v>
      </c>
      <c r="F593" s="2">
        <v>3196776</v>
      </c>
    </row>
    <row r="594" spans="1:6" x14ac:dyDescent="0.25">
      <c r="A594" t="s">
        <v>236</v>
      </c>
      <c r="B594">
        <v>3</v>
      </c>
      <c r="C594" s="2">
        <v>2007653</v>
      </c>
      <c r="D594" s="2" t="s">
        <v>391</v>
      </c>
      <c r="E594" s="1"/>
      <c r="F594" s="2"/>
    </row>
    <row r="595" spans="1:6" x14ac:dyDescent="0.25">
      <c r="A595" t="s">
        <v>236</v>
      </c>
      <c r="B595">
        <v>4</v>
      </c>
      <c r="C595" s="2">
        <v>588145.94999999995</v>
      </c>
      <c r="D595" s="2" t="s">
        <v>391</v>
      </c>
      <c r="E595" s="1"/>
      <c r="F595" s="2"/>
    </row>
    <row r="596" spans="1:6" x14ac:dyDescent="0.25">
      <c r="A596" t="s">
        <v>237</v>
      </c>
      <c r="B596">
        <v>1</v>
      </c>
      <c r="C596" s="2">
        <v>298249.45</v>
      </c>
      <c r="D596" s="2" t="s">
        <v>390</v>
      </c>
      <c r="E596" s="1">
        <v>45457</v>
      </c>
      <c r="F596" s="2">
        <v>298249.45</v>
      </c>
    </row>
    <row r="597" spans="1:6" x14ac:dyDescent="0.25">
      <c r="A597" t="s">
        <v>237</v>
      </c>
      <c r="B597">
        <v>2</v>
      </c>
      <c r="C597" s="2">
        <v>277113.90999999997</v>
      </c>
      <c r="D597" s="2" t="s">
        <v>390</v>
      </c>
      <c r="E597" s="1">
        <v>45883</v>
      </c>
      <c r="F597" s="2">
        <v>277113.90999999997</v>
      </c>
    </row>
    <row r="598" spans="1:6" x14ac:dyDescent="0.25">
      <c r="A598" t="s">
        <v>237</v>
      </c>
      <c r="B598">
        <v>3</v>
      </c>
      <c r="C598" s="2">
        <v>124636.64</v>
      </c>
      <c r="D598" s="2" t="s">
        <v>391</v>
      </c>
      <c r="E598" s="1"/>
      <c r="F598" s="2"/>
    </row>
    <row r="599" spans="1:6" x14ac:dyDescent="0.25">
      <c r="A599" t="s">
        <v>238</v>
      </c>
      <c r="B599">
        <v>1</v>
      </c>
      <c r="C599" s="2">
        <v>750000</v>
      </c>
      <c r="D599" s="2" t="s">
        <v>390</v>
      </c>
      <c r="E599" s="1">
        <v>45440</v>
      </c>
      <c r="F599" s="2">
        <v>750000</v>
      </c>
    </row>
    <row r="600" spans="1:6" x14ac:dyDescent="0.25">
      <c r="A600" t="s">
        <v>238</v>
      </c>
      <c r="B600">
        <v>2</v>
      </c>
      <c r="C600" s="2">
        <v>750000</v>
      </c>
      <c r="D600" s="2" t="s">
        <v>391</v>
      </c>
      <c r="E600" s="1"/>
      <c r="F600" s="2"/>
    </row>
    <row r="601" spans="1:6" x14ac:dyDescent="0.25">
      <c r="A601" t="s">
        <v>238</v>
      </c>
      <c r="B601">
        <v>3</v>
      </c>
      <c r="C601" s="2">
        <v>750000</v>
      </c>
      <c r="D601" s="2" t="s">
        <v>391</v>
      </c>
      <c r="E601" s="1"/>
      <c r="F601" s="2"/>
    </row>
    <row r="602" spans="1:6" x14ac:dyDescent="0.25">
      <c r="A602" t="s">
        <v>238</v>
      </c>
      <c r="B602">
        <v>4</v>
      </c>
      <c r="C602" s="2">
        <v>750000</v>
      </c>
      <c r="D602" s="2" t="s">
        <v>391</v>
      </c>
      <c r="E602" s="1"/>
      <c r="F602" s="2"/>
    </row>
    <row r="603" spans="1:6" x14ac:dyDescent="0.25">
      <c r="A603" t="s">
        <v>240</v>
      </c>
      <c r="B603">
        <v>1</v>
      </c>
      <c r="C603" s="2">
        <v>278431.94</v>
      </c>
      <c r="D603" s="2" t="s">
        <v>390</v>
      </c>
      <c r="E603" s="1">
        <v>45021</v>
      </c>
      <c r="F603" s="2">
        <v>278431.94</v>
      </c>
    </row>
    <row r="604" spans="1:6" x14ac:dyDescent="0.25">
      <c r="A604" t="s">
        <v>240</v>
      </c>
      <c r="B604">
        <v>2</v>
      </c>
      <c r="C604" s="2">
        <v>1740199</v>
      </c>
      <c r="D604" s="2" t="s">
        <v>390</v>
      </c>
      <c r="E604" s="1">
        <v>45408</v>
      </c>
      <c r="F604" s="2">
        <v>1740199</v>
      </c>
    </row>
    <row r="605" spans="1:6" x14ac:dyDescent="0.25">
      <c r="A605" t="s">
        <v>240</v>
      </c>
      <c r="B605">
        <v>3</v>
      </c>
      <c r="C605" s="2">
        <v>1461767</v>
      </c>
      <c r="D605" s="2" t="s">
        <v>391</v>
      </c>
      <c r="E605" s="1"/>
      <c r="F605" s="2"/>
    </row>
    <row r="606" spans="1:6" x14ac:dyDescent="0.25">
      <c r="A606" t="s">
        <v>241</v>
      </c>
      <c r="B606">
        <v>1</v>
      </c>
      <c r="C606" s="2">
        <v>100000</v>
      </c>
      <c r="D606" s="2" t="s">
        <v>390</v>
      </c>
      <c r="E606" s="1">
        <v>45475</v>
      </c>
      <c r="F606" s="2">
        <v>100000</v>
      </c>
    </row>
    <row r="607" spans="1:6" x14ac:dyDescent="0.25">
      <c r="A607" t="s">
        <v>241</v>
      </c>
      <c r="B607">
        <v>2</v>
      </c>
      <c r="C607" s="2">
        <v>203497.97</v>
      </c>
      <c r="D607" s="2" t="s">
        <v>391</v>
      </c>
      <c r="E607" s="1"/>
      <c r="F607" s="2"/>
    </row>
    <row r="608" spans="1:6" x14ac:dyDescent="0.25">
      <c r="A608" t="s">
        <v>241</v>
      </c>
      <c r="B608">
        <v>3</v>
      </c>
      <c r="C608" s="2">
        <v>86498.9</v>
      </c>
      <c r="D608" s="2" t="s">
        <v>391</v>
      </c>
      <c r="E608" s="1"/>
      <c r="F608" s="2"/>
    </row>
    <row r="609" spans="1:6" x14ac:dyDescent="0.25">
      <c r="A609" t="s">
        <v>242</v>
      </c>
      <c r="B609">
        <v>1</v>
      </c>
      <c r="C609" s="2">
        <v>100000</v>
      </c>
      <c r="D609" s="2" t="s">
        <v>390</v>
      </c>
      <c r="E609" s="1">
        <v>45478</v>
      </c>
      <c r="F609" s="2">
        <v>100000</v>
      </c>
    </row>
    <row r="610" spans="1:6" x14ac:dyDescent="0.25">
      <c r="A610" t="s">
        <v>242</v>
      </c>
      <c r="B610">
        <v>2</v>
      </c>
      <c r="C610" s="2">
        <v>203497.97</v>
      </c>
      <c r="D610" s="2" t="s">
        <v>390</v>
      </c>
      <c r="E610" s="1">
        <v>45807</v>
      </c>
      <c r="F610" s="2">
        <v>203497.97</v>
      </c>
    </row>
    <row r="611" spans="1:6" x14ac:dyDescent="0.25">
      <c r="A611" t="s">
        <v>242</v>
      </c>
      <c r="B611">
        <v>3</v>
      </c>
      <c r="C611" s="2">
        <v>86498.9</v>
      </c>
      <c r="D611" s="2" t="s">
        <v>390</v>
      </c>
      <c r="E611" s="1">
        <v>45852</v>
      </c>
      <c r="F611" s="2">
        <v>86498.9</v>
      </c>
    </row>
    <row r="612" spans="1:6" x14ac:dyDescent="0.25">
      <c r="A612" t="s">
        <v>243</v>
      </c>
      <c r="B612">
        <v>1</v>
      </c>
      <c r="C612" s="2">
        <v>80000</v>
      </c>
      <c r="D612" s="2" t="s">
        <v>391</v>
      </c>
      <c r="E612" s="1"/>
      <c r="F612" s="2"/>
    </row>
    <row r="613" spans="1:6" x14ac:dyDescent="0.25">
      <c r="A613" t="s">
        <v>243</v>
      </c>
      <c r="B613">
        <v>2</v>
      </c>
      <c r="C613" s="2">
        <v>120000</v>
      </c>
      <c r="D613" s="2" t="s">
        <v>391</v>
      </c>
      <c r="E613" s="1"/>
      <c r="F613" s="2"/>
    </row>
    <row r="614" spans="1:6" x14ac:dyDescent="0.25">
      <c r="A614" t="s">
        <v>245</v>
      </c>
      <c r="B614">
        <v>1</v>
      </c>
      <c r="C614" s="2">
        <v>362926.44</v>
      </c>
      <c r="D614" s="2" t="s">
        <v>390</v>
      </c>
      <c r="E614" s="1">
        <v>44740</v>
      </c>
      <c r="F614" s="2">
        <v>362926.44</v>
      </c>
    </row>
    <row r="615" spans="1:6" x14ac:dyDescent="0.25">
      <c r="A615" t="s">
        <v>245</v>
      </c>
      <c r="B615">
        <v>2</v>
      </c>
      <c r="C615" s="2">
        <v>928248.74</v>
      </c>
      <c r="D615" s="2" t="s">
        <v>390</v>
      </c>
      <c r="E615" s="1">
        <v>45009</v>
      </c>
      <c r="F615" s="2">
        <v>928248.74</v>
      </c>
    </row>
    <row r="616" spans="1:6" x14ac:dyDescent="0.25">
      <c r="A616" t="s">
        <v>245</v>
      </c>
      <c r="B616">
        <v>3</v>
      </c>
      <c r="C616" s="2">
        <v>919399.73</v>
      </c>
      <c r="D616" s="2" t="s">
        <v>390</v>
      </c>
      <c r="E616" s="1">
        <v>45411</v>
      </c>
      <c r="F616" s="2">
        <v>919399.73</v>
      </c>
    </row>
    <row r="617" spans="1:6" x14ac:dyDescent="0.25">
      <c r="A617" t="s">
        <v>245</v>
      </c>
      <c r="B617">
        <v>4</v>
      </c>
      <c r="C617" s="2">
        <v>1389425</v>
      </c>
      <c r="D617" s="2" t="s">
        <v>390</v>
      </c>
      <c r="E617" s="1">
        <v>45716</v>
      </c>
      <c r="F617" s="2">
        <v>1389425</v>
      </c>
    </row>
    <row r="618" spans="1:6" x14ac:dyDescent="0.25">
      <c r="A618" t="s">
        <v>246</v>
      </c>
      <c r="B618">
        <v>1</v>
      </c>
      <c r="C618" s="2">
        <v>165579.26999999999</v>
      </c>
      <c r="D618" s="2" t="s">
        <v>390</v>
      </c>
      <c r="E618" s="1">
        <v>44740</v>
      </c>
      <c r="F618" s="2">
        <v>165579.26999999999</v>
      </c>
    </row>
    <row r="619" spans="1:6" x14ac:dyDescent="0.25">
      <c r="A619" t="s">
        <v>246</v>
      </c>
      <c r="B619">
        <v>2</v>
      </c>
      <c r="C619" s="2">
        <v>135984.29999999999</v>
      </c>
      <c r="D619" s="2" t="s">
        <v>390</v>
      </c>
      <c r="E619" s="1">
        <v>45098</v>
      </c>
      <c r="F619" s="2">
        <v>135984.29999999999</v>
      </c>
    </row>
    <row r="620" spans="1:6" x14ac:dyDescent="0.25">
      <c r="A620" t="s">
        <v>247</v>
      </c>
      <c r="B620">
        <v>1</v>
      </c>
      <c r="C620" s="2">
        <v>82500</v>
      </c>
      <c r="D620" s="2" t="s">
        <v>390</v>
      </c>
      <c r="E620" s="1">
        <v>44743</v>
      </c>
      <c r="F620" s="2">
        <v>82500</v>
      </c>
    </row>
    <row r="621" spans="1:6" x14ac:dyDescent="0.25">
      <c r="A621" t="s">
        <v>247</v>
      </c>
      <c r="B621">
        <v>2</v>
      </c>
      <c r="C621" s="2">
        <v>67500</v>
      </c>
      <c r="D621" s="2" t="s">
        <v>390</v>
      </c>
      <c r="E621" s="1">
        <v>45092</v>
      </c>
      <c r="F621" s="2">
        <v>67500</v>
      </c>
    </row>
    <row r="622" spans="1:6" x14ac:dyDescent="0.25">
      <c r="A622" t="s">
        <v>407</v>
      </c>
      <c r="B622">
        <v>1</v>
      </c>
      <c r="C622" s="2">
        <v>120000</v>
      </c>
      <c r="D622" s="2" t="s">
        <v>391</v>
      </c>
      <c r="E622" s="1"/>
      <c r="F622" s="2"/>
    </row>
    <row r="623" spans="1:6" x14ac:dyDescent="0.25">
      <c r="A623" t="s">
        <v>407</v>
      </c>
      <c r="B623">
        <v>2</v>
      </c>
      <c r="C623" s="2">
        <v>80000</v>
      </c>
      <c r="D623" s="2" t="s">
        <v>391</v>
      </c>
      <c r="E623" s="1"/>
      <c r="F623" s="2"/>
    </row>
    <row r="624" spans="1:6" x14ac:dyDescent="0.25">
      <c r="A624" t="s">
        <v>249</v>
      </c>
      <c r="B624">
        <v>1</v>
      </c>
      <c r="C624" s="2">
        <v>500000</v>
      </c>
      <c r="D624" s="2" t="s">
        <v>390</v>
      </c>
      <c r="E624" s="1">
        <v>44714</v>
      </c>
      <c r="F624" s="2">
        <v>500000</v>
      </c>
    </row>
    <row r="625" spans="1:6" x14ac:dyDescent="0.25">
      <c r="A625" t="s">
        <v>249</v>
      </c>
      <c r="B625">
        <v>2</v>
      </c>
      <c r="C625" s="2">
        <v>796501.11</v>
      </c>
      <c r="D625" s="2" t="s">
        <v>390</v>
      </c>
      <c r="E625" s="1">
        <v>44910</v>
      </c>
      <c r="F625" s="2">
        <v>796501.11</v>
      </c>
    </row>
    <row r="626" spans="1:6" x14ac:dyDescent="0.25">
      <c r="A626" t="s">
        <v>249</v>
      </c>
      <c r="B626">
        <v>3</v>
      </c>
      <c r="C626" s="2">
        <v>796501.11</v>
      </c>
      <c r="D626" s="2" t="s">
        <v>390</v>
      </c>
      <c r="E626" s="1">
        <v>45079</v>
      </c>
      <c r="F626" s="2">
        <v>796501.11</v>
      </c>
    </row>
    <row r="627" spans="1:6" x14ac:dyDescent="0.25">
      <c r="A627" t="s">
        <v>408</v>
      </c>
      <c r="B627">
        <v>1</v>
      </c>
      <c r="C627" s="2">
        <v>1458770.56</v>
      </c>
      <c r="D627" s="2" t="s">
        <v>390</v>
      </c>
      <c r="E627" s="1">
        <v>45168</v>
      </c>
      <c r="F627" s="2">
        <v>1458770.56</v>
      </c>
    </row>
    <row r="628" spans="1:6" x14ac:dyDescent="0.25">
      <c r="A628" t="s">
        <v>408</v>
      </c>
      <c r="B628">
        <v>2</v>
      </c>
      <c r="C628" s="2">
        <v>1458770.56</v>
      </c>
      <c r="D628" s="2" t="s">
        <v>390</v>
      </c>
      <c r="E628" s="1">
        <v>45399</v>
      </c>
      <c r="F628" s="2">
        <v>1458770.56</v>
      </c>
    </row>
    <row r="629" spans="1:6" x14ac:dyDescent="0.25">
      <c r="A629" t="s">
        <v>408</v>
      </c>
      <c r="B629">
        <v>3</v>
      </c>
      <c r="C629" s="2">
        <v>1458770.57</v>
      </c>
      <c r="D629" s="2" t="s">
        <v>390</v>
      </c>
      <c r="E629" s="1">
        <v>45694</v>
      </c>
      <c r="F629" s="2">
        <v>1458770.57</v>
      </c>
    </row>
    <row r="630" spans="1:6" x14ac:dyDescent="0.25">
      <c r="A630" t="s">
        <v>251</v>
      </c>
      <c r="B630">
        <v>1</v>
      </c>
      <c r="C630" s="2">
        <v>2100000</v>
      </c>
      <c r="D630" s="2" t="s">
        <v>390</v>
      </c>
      <c r="E630" s="1">
        <v>43271</v>
      </c>
      <c r="F630" s="2">
        <v>2100000</v>
      </c>
    </row>
    <row r="631" spans="1:6" x14ac:dyDescent="0.25">
      <c r="A631" t="s">
        <v>251</v>
      </c>
      <c r="B631">
        <v>2</v>
      </c>
      <c r="C631" s="2">
        <v>2450000</v>
      </c>
      <c r="D631" s="2" t="s">
        <v>390</v>
      </c>
      <c r="E631" s="1">
        <v>43819</v>
      </c>
      <c r="F631" s="2">
        <v>2450000</v>
      </c>
    </row>
    <row r="632" spans="1:6" x14ac:dyDescent="0.25">
      <c r="A632" t="s">
        <v>251</v>
      </c>
      <c r="B632">
        <v>3</v>
      </c>
      <c r="C632" s="2">
        <v>2450000</v>
      </c>
      <c r="D632" s="2" t="s">
        <v>390</v>
      </c>
      <c r="E632" s="1">
        <v>44218</v>
      </c>
      <c r="F632" s="2">
        <v>2450000</v>
      </c>
    </row>
    <row r="633" spans="1:6" x14ac:dyDescent="0.25">
      <c r="A633" t="s">
        <v>252</v>
      </c>
      <c r="B633">
        <v>1</v>
      </c>
      <c r="C633" s="2">
        <v>400000</v>
      </c>
      <c r="D633" s="2" t="s">
        <v>390</v>
      </c>
      <c r="E633" s="1">
        <v>44740</v>
      </c>
      <c r="F633" s="2">
        <v>400000</v>
      </c>
    </row>
    <row r="634" spans="1:6" x14ac:dyDescent="0.25">
      <c r="A634" t="s">
        <v>252</v>
      </c>
      <c r="B634">
        <v>2</v>
      </c>
      <c r="C634" s="2">
        <v>400000</v>
      </c>
      <c r="D634" s="2" t="s">
        <v>390</v>
      </c>
      <c r="E634" s="1">
        <v>45411</v>
      </c>
      <c r="F634" s="2">
        <v>400000</v>
      </c>
    </row>
    <row r="635" spans="1:6" x14ac:dyDescent="0.25">
      <c r="A635" t="s">
        <v>253</v>
      </c>
      <c r="B635">
        <v>1</v>
      </c>
      <c r="C635" s="2">
        <v>250000</v>
      </c>
      <c r="D635" s="2" t="s">
        <v>390</v>
      </c>
      <c r="E635" s="1">
        <v>45264</v>
      </c>
      <c r="F635" s="2">
        <v>250000</v>
      </c>
    </row>
    <row r="636" spans="1:6" x14ac:dyDescent="0.25">
      <c r="A636" t="s">
        <v>253</v>
      </c>
      <c r="B636">
        <v>2</v>
      </c>
      <c r="C636" s="2">
        <v>250000</v>
      </c>
      <c r="D636" s="2" t="s">
        <v>390</v>
      </c>
      <c r="E636" s="1">
        <v>45923</v>
      </c>
      <c r="F636" s="2">
        <v>250000</v>
      </c>
    </row>
    <row r="637" spans="1:6" x14ac:dyDescent="0.25">
      <c r="A637" t="s">
        <v>255</v>
      </c>
      <c r="B637">
        <v>1</v>
      </c>
      <c r="C637" s="2">
        <v>265025.38</v>
      </c>
      <c r="D637" s="2" t="s">
        <v>390</v>
      </c>
      <c r="E637" s="1">
        <v>44740</v>
      </c>
      <c r="F637" s="2">
        <v>265025.38</v>
      </c>
    </row>
    <row r="638" spans="1:6" x14ac:dyDescent="0.25">
      <c r="A638" t="s">
        <v>255</v>
      </c>
      <c r="B638">
        <v>2</v>
      </c>
      <c r="C638" s="2">
        <v>265025.38</v>
      </c>
      <c r="D638" s="2" t="s">
        <v>390</v>
      </c>
      <c r="E638" s="1">
        <v>44981</v>
      </c>
      <c r="F638" s="2">
        <v>265025.38</v>
      </c>
    </row>
    <row r="639" spans="1:6" x14ac:dyDescent="0.25">
      <c r="A639" t="s">
        <v>255</v>
      </c>
      <c r="B639">
        <v>3</v>
      </c>
      <c r="C639" s="2">
        <v>265025.39</v>
      </c>
      <c r="D639" s="2" t="s">
        <v>390</v>
      </c>
      <c r="E639" s="1">
        <v>45280</v>
      </c>
      <c r="F639" s="2">
        <v>265025.39</v>
      </c>
    </row>
    <row r="640" spans="1:6" x14ac:dyDescent="0.25">
      <c r="A640" t="s">
        <v>256</v>
      </c>
      <c r="B640">
        <v>1</v>
      </c>
      <c r="C640" s="2">
        <v>991908</v>
      </c>
      <c r="D640" s="2" t="s">
        <v>390</v>
      </c>
      <c r="E640" s="1">
        <v>45420</v>
      </c>
      <c r="F640" s="2">
        <v>991908</v>
      </c>
    </row>
    <row r="641" spans="1:6" x14ac:dyDescent="0.25">
      <c r="A641" t="s">
        <v>256</v>
      </c>
      <c r="B641">
        <v>2</v>
      </c>
      <c r="C641" s="2">
        <v>978446.81</v>
      </c>
      <c r="D641" s="2" t="s">
        <v>390</v>
      </c>
      <c r="E641" s="1">
        <v>45699</v>
      </c>
      <c r="F641" s="2">
        <v>978446.81</v>
      </c>
    </row>
    <row r="642" spans="1:6" x14ac:dyDescent="0.25">
      <c r="A642" t="s">
        <v>256</v>
      </c>
      <c r="B642">
        <v>3</v>
      </c>
      <c r="C642" s="2">
        <v>951834.69</v>
      </c>
      <c r="D642" s="2" t="s">
        <v>390</v>
      </c>
      <c r="E642" s="1">
        <v>45805</v>
      </c>
      <c r="F642" s="2">
        <v>951834.69</v>
      </c>
    </row>
    <row r="643" spans="1:6" x14ac:dyDescent="0.25">
      <c r="A643" t="s">
        <v>256</v>
      </c>
      <c r="B643">
        <v>4</v>
      </c>
      <c r="C643" s="2">
        <v>951446.82</v>
      </c>
      <c r="D643" s="2" t="s">
        <v>391</v>
      </c>
      <c r="E643" s="1"/>
      <c r="F643" s="2"/>
    </row>
    <row r="644" spans="1:6" x14ac:dyDescent="0.25">
      <c r="A644" t="s">
        <v>257</v>
      </c>
      <c r="B644">
        <v>1</v>
      </c>
      <c r="C644" s="2">
        <v>100000</v>
      </c>
      <c r="D644" s="2" t="s">
        <v>390</v>
      </c>
      <c r="E644" s="1">
        <v>45478</v>
      </c>
      <c r="F644" s="2">
        <v>100000</v>
      </c>
    </row>
    <row r="645" spans="1:6" x14ac:dyDescent="0.25">
      <c r="A645" t="s">
        <v>257</v>
      </c>
      <c r="B645">
        <v>2</v>
      </c>
      <c r="C645" s="2">
        <v>150598.24</v>
      </c>
      <c r="D645" s="2" t="s">
        <v>390</v>
      </c>
      <c r="E645" s="1">
        <v>45699</v>
      </c>
      <c r="F645" s="2">
        <v>150598.24</v>
      </c>
    </row>
    <row r="646" spans="1:6" x14ac:dyDescent="0.25">
      <c r="A646" t="s">
        <v>257</v>
      </c>
      <c r="B646">
        <v>3</v>
      </c>
      <c r="C646" s="2">
        <v>167065.51</v>
      </c>
      <c r="D646" s="2" t="s">
        <v>390</v>
      </c>
      <c r="E646" s="1">
        <v>46008</v>
      </c>
      <c r="F646" s="2">
        <v>167065.51</v>
      </c>
    </row>
    <row r="647" spans="1:6" x14ac:dyDescent="0.25">
      <c r="A647" t="s">
        <v>259</v>
      </c>
      <c r="B647">
        <v>1</v>
      </c>
      <c r="C647" s="2">
        <v>220767.04</v>
      </c>
      <c r="D647" s="2" t="s">
        <v>390</v>
      </c>
      <c r="E647" s="1">
        <v>44609</v>
      </c>
      <c r="F647" s="2">
        <v>220767.04</v>
      </c>
    </row>
    <row r="648" spans="1:6" x14ac:dyDescent="0.25">
      <c r="A648" t="s">
        <v>259</v>
      </c>
      <c r="B648">
        <v>2</v>
      </c>
      <c r="C648" s="2">
        <v>220767.04</v>
      </c>
      <c r="D648" s="2" t="s">
        <v>390</v>
      </c>
      <c r="E648" s="1">
        <v>45063</v>
      </c>
      <c r="F648" s="2">
        <v>220767.04</v>
      </c>
    </row>
    <row r="649" spans="1:6" x14ac:dyDescent="0.25">
      <c r="A649" t="s">
        <v>259</v>
      </c>
      <c r="B649">
        <v>3</v>
      </c>
      <c r="C649" s="2">
        <v>220767.04</v>
      </c>
      <c r="D649" s="2" t="s">
        <v>390</v>
      </c>
      <c r="E649" s="1">
        <v>45271</v>
      </c>
      <c r="F649" s="2">
        <v>220767.04</v>
      </c>
    </row>
    <row r="650" spans="1:6" x14ac:dyDescent="0.25">
      <c r="A650" t="s">
        <v>259</v>
      </c>
      <c r="B650">
        <v>4</v>
      </c>
      <c r="C650" s="2">
        <v>220767.04</v>
      </c>
      <c r="D650" s="2" t="s">
        <v>390</v>
      </c>
      <c r="E650" s="1">
        <v>45841</v>
      </c>
      <c r="F650" s="2">
        <v>220767.04</v>
      </c>
    </row>
    <row r="651" spans="1:6" x14ac:dyDescent="0.25">
      <c r="A651" t="s">
        <v>260</v>
      </c>
      <c r="B651">
        <v>1</v>
      </c>
      <c r="C651" s="2">
        <v>50000</v>
      </c>
      <c r="D651" s="2" t="s">
        <v>390</v>
      </c>
      <c r="E651" s="1">
        <v>44743</v>
      </c>
      <c r="F651" s="2">
        <v>50000</v>
      </c>
    </row>
    <row r="652" spans="1:6" x14ac:dyDescent="0.25">
      <c r="A652" t="s">
        <v>260</v>
      </c>
      <c r="B652">
        <v>2</v>
      </c>
      <c r="C652" s="2">
        <v>103371.54</v>
      </c>
      <c r="D652" s="2" t="s">
        <v>390</v>
      </c>
      <c r="E652" s="1">
        <v>45142</v>
      </c>
      <c r="F652" s="2">
        <v>103371.54</v>
      </c>
    </row>
    <row r="653" spans="1:6" x14ac:dyDescent="0.25">
      <c r="A653" t="s">
        <v>260</v>
      </c>
      <c r="B653">
        <v>3</v>
      </c>
      <c r="C653" s="2">
        <v>103371.54</v>
      </c>
      <c r="D653" s="2" t="s">
        <v>390</v>
      </c>
      <c r="E653" s="1">
        <v>45373</v>
      </c>
      <c r="F653" s="2">
        <v>103371.54</v>
      </c>
    </row>
    <row r="654" spans="1:6" x14ac:dyDescent="0.25">
      <c r="A654" t="s">
        <v>261</v>
      </c>
      <c r="B654">
        <v>1</v>
      </c>
      <c r="C654" s="2">
        <v>261588.13</v>
      </c>
      <c r="D654" s="2" t="s">
        <v>390</v>
      </c>
      <c r="E654" s="1">
        <v>45027</v>
      </c>
      <c r="F654" s="2">
        <v>261588.13</v>
      </c>
    </row>
    <row r="655" spans="1:6" x14ac:dyDescent="0.25">
      <c r="A655" t="s">
        <v>261</v>
      </c>
      <c r="B655">
        <v>2</v>
      </c>
      <c r="C655" s="2">
        <v>1442106.93</v>
      </c>
      <c r="D655" s="2" t="s">
        <v>390</v>
      </c>
      <c r="E655" s="1">
        <v>45471</v>
      </c>
      <c r="F655" s="2">
        <v>1442106.93</v>
      </c>
    </row>
    <row r="656" spans="1:6" x14ac:dyDescent="0.25">
      <c r="A656" t="s">
        <v>261</v>
      </c>
      <c r="B656">
        <v>3</v>
      </c>
      <c r="C656" s="2">
        <v>1213692.3999999999</v>
      </c>
      <c r="D656" s="2" t="s">
        <v>391</v>
      </c>
      <c r="E656" s="1"/>
      <c r="F656" s="2"/>
    </row>
    <row r="657" spans="1:6" x14ac:dyDescent="0.25">
      <c r="A657" t="s">
        <v>261</v>
      </c>
      <c r="B657">
        <v>4</v>
      </c>
      <c r="C657" s="2">
        <v>233236.23</v>
      </c>
      <c r="D657" s="2" t="s">
        <v>391</v>
      </c>
      <c r="E657" s="1"/>
      <c r="F657" s="2"/>
    </row>
    <row r="658" spans="1:6" x14ac:dyDescent="0.25">
      <c r="A658" t="s">
        <v>262</v>
      </c>
      <c r="B658">
        <v>1</v>
      </c>
      <c r="C658" s="2">
        <v>229304.59</v>
      </c>
      <c r="D658" s="2" t="s">
        <v>390</v>
      </c>
      <c r="E658" s="1">
        <v>45027</v>
      </c>
      <c r="F658" s="2">
        <v>229304.59</v>
      </c>
    </row>
    <row r="659" spans="1:6" x14ac:dyDescent="0.25">
      <c r="A659" t="s">
        <v>262</v>
      </c>
      <c r="B659">
        <v>2</v>
      </c>
      <c r="C659" s="2">
        <v>70695.41</v>
      </c>
      <c r="D659" s="2" t="s">
        <v>390</v>
      </c>
      <c r="E659" s="1">
        <v>45271</v>
      </c>
      <c r="F659" s="2">
        <v>70695.41</v>
      </c>
    </row>
    <row r="660" spans="1:6" x14ac:dyDescent="0.25">
      <c r="A660" t="s">
        <v>409</v>
      </c>
      <c r="B660">
        <v>1</v>
      </c>
      <c r="C660" s="2">
        <v>522886.16</v>
      </c>
      <c r="D660" s="2" t="s">
        <v>390</v>
      </c>
      <c r="E660" s="1">
        <v>45226</v>
      </c>
      <c r="F660" s="2">
        <v>522886.16</v>
      </c>
    </row>
    <row r="661" spans="1:6" x14ac:dyDescent="0.25">
      <c r="A661" t="s">
        <v>409</v>
      </c>
      <c r="B661">
        <v>2</v>
      </c>
      <c r="C661" s="2">
        <v>604905.07999999996</v>
      </c>
      <c r="D661" s="2" t="s">
        <v>390</v>
      </c>
      <c r="E661" s="1">
        <v>45782</v>
      </c>
      <c r="F661" s="2">
        <v>604905.07999999996</v>
      </c>
    </row>
    <row r="662" spans="1:6" x14ac:dyDescent="0.25">
      <c r="A662" t="s">
        <v>409</v>
      </c>
      <c r="B662">
        <v>3</v>
      </c>
      <c r="C662" s="2">
        <v>84042.16</v>
      </c>
      <c r="D662" s="2" t="s">
        <v>391</v>
      </c>
      <c r="E662" s="1"/>
      <c r="F662" s="2"/>
    </row>
    <row r="663" spans="1:6" x14ac:dyDescent="0.25">
      <c r="A663" t="s">
        <v>263</v>
      </c>
      <c r="B663">
        <v>1</v>
      </c>
      <c r="C663" s="2">
        <v>264023.65999999997</v>
      </c>
      <c r="D663" s="2" t="s">
        <v>390</v>
      </c>
      <c r="E663" s="1">
        <v>45415</v>
      </c>
      <c r="F663" s="2">
        <v>264023.65999999997</v>
      </c>
    </row>
    <row r="664" spans="1:6" x14ac:dyDescent="0.25">
      <c r="A664" t="s">
        <v>263</v>
      </c>
      <c r="B664">
        <v>2</v>
      </c>
      <c r="C664" s="2">
        <v>561126.99</v>
      </c>
      <c r="D664" s="2" t="s">
        <v>390</v>
      </c>
      <c r="E664" s="1">
        <v>45782</v>
      </c>
      <c r="F664" s="2">
        <v>264023.65999999997</v>
      </c>
    </row>
    <row r="665" spans="1:6" x14ac:dyDescent="0.25">
      <c r="A665" t="s">
        <v>263</v>
      </c>
      <c r="B665">
        <v>3</v>
      </c>
      <c r="C665" s="2">
        <v>365088.41</v>
      </c>
      <c r="D665" s="2" t="s">
        <v>391</v>
      </c>
      <c r="E665" s="1"/>
      <c r="F665" s="2"/>
    </row>
    <row r="666" spans="1:6" x14ac:dyDescent="0.25">
      <c r="A666" t="s">
        <v>264</v>
      </c>
      <c r="B666">
        <v>1</v>
      </c>
      <c r="C666" s="2">
        <v>601073.57999999996</v>
      </c>
      <c r="D666" s="2" t="s">
        <v>390</v>
      </c>
      <c r="E666" s="1">
        <v>45478</v>
      </c>
      <c r="F666" s="2">
        <v>601073.57999999996</v>
      </c>
    </row>
    <row r="667" spans="1:6" x14ac:dyDescent="0.25">
      <c r="A667" t="s">
        <v>264</v>
      </c>
      <c r="B667">
        <v>2</v>
      </c>
      <c r="C667" s="2">
        <v>601073.57999999996</v>
      </c>
      <c r="D667" s="2" t="s">
        <v>390</v>
      </c>
      <c r="E667" s="1">
        <v>45478</v>
      </c>
      <c r="F667" s="2">
        <v>601073.57999999996</v>
      </c>
    </row>
    <row r="668" spans="1:6" x14ac:dyDescent="0.25">
      <c r="A668" t="s">
        <v>266</v>
      </c>
      <c r="B668">
        <v>1</v>
      </c>
      <c r="C668" s="2">
        <v>375643.47</v>
      </c>
      <c r="D668" s="2" t="s">
        <v>390</v>
      </c>
      <c r="E668" s="1">
        <v>44610</v>
      </c>
      <c r="F668" s="2">
        <v>3775643.47</v>
      </c>
    </row>
    <row r="669" spans="1:6" x14ac:dyDescent="0.25">
      <c r="A669" t="s">
        <v>266</v>
      </c>
      <c r="B669">
        <v>2</v>
      </c>
      <c r="C669" s="2">
        <v>314020.62</v>
      </c>
      <c r="D669" s="2" t="s">
        <v>390</v>
      </c>
      <c r="E669" s="1">
        <v>44649</v>
      </c>
      <c r="F669" s="2">
        <v>314020.62</v>
      </c>
    </row>
    <row r="670" spans="1:6" x14ac:dyDescent="0.25">
      <c r="A670" t="s">
        <v>266</v>
      </c>
      <c r="B670">
        <v>3</v>
      </c>
      <c r="C670" s="2">
        <v>492613.46</v>
      </c>
      <c r="D670" s="2" t="s">
        <v>390</v>
      </c>
      <c r="E670" s="1">
        <v>44753</v>
      </c>
      <c r="F670" s="2">
        <v>492613.46</v>
      </c>
    </row>
    <row r="671" spans="1:6" x14ac:dyDescent="0.25">
      <c r="A671" t="s">
        <v>266</v>
      </c>
      <c r="B671">
        <v>4</v>
      </c>
      <c r="C671" s="2">
        <v>860257.92</v>
      </c>
      <c r="D671" s="2" t="s">
        <v>390</v>
      </c>
      <c r="E671" s="1">
        <v>44966</v>
      </c>
      <c r="F671" s="2">
        <v>860257.92</v>
      </c>
    </row>
    <row r="672" spans="1:6" x14ac:dyDescent="0.25">
      <c r="A672" t="s">
        <v>266</v>
      </c>
      <c r="B672">
        <v>5</v>
      </c>
      <c r="C672" s="2">
        <v>1073036.68</v>
      </c>
      <c r="D672" s="2" t="s">
        <v>390</v>
      </c>
      <c r="E672" s="1">
        <v>45142</v>
      </c>
      <c r="F672" s="2">
        <v>1073036.68</v>
      </c>
    </row>
    <row r="673" spans="1:6" x14ac:dyDescent="0.25">
      <c r="A673" t="s">
        <v>266</v>
      </c>
      <c r="B673">
        <v>6</v>
      </c>
      <c r="C673" s="2">
        <v>1244087.03</v>
      </c>
      <c r="D673" s="2" t="s">
        <v>390</v>
      </c>
      <c r="E673" s="1">
        <v>45399</v>
      </c>
      <c r="F673" s="2">
        <v>1244087.03</v>
      </c>
    </row>
    <row r="674" spans="1:6" x14ac:dyDescent="0.25">
      <c r="A674" t="s">
        <v>266</v>
      </c>
      <c r="B674">
        <v>7</v>
      </c>
      <c r="C674" s="2">
        <v>1069566.04</v>
      </c>
      <c r="D674" s="2" t="s">
        <v>390</v>
      </c>
      <c r="E674" s="1">
        <v>45870</v>
      </c>
      <c r="F674" s="2">
        <v>1069566.04</v>
      </c>
    </row>
    <row r="675" spans="1:6" x14ac:dyDescent="0.25">
      <c r="A675" t="s">
        <v>266</v>
      </c>
      <c r="B675">
        <v>8</v>
      </c>
      <c r="C675" s="2">
        <v>936092.04</v>
      </c>
      <c r="D675" s="2" t="s">
        <v>391</v>
      </c>
      <c r="E675" s="1"/>
      <c r="F675" s="2"/>
    </row>
    <row r="676" spans="1:6" x14ac:dyDescent="0.25">
      <c r="A676" t="s">
        <v>267</v>
      </c>
      <c r="B676">
        <v>1</v>
      </c>
      <c r="C676" s="2">
        <v>400000</v>
      </c>
      <c r="D676" s="2" t="s">
        <v>390</v>
      </c>
      <c r="E676" s="1">
        <v>44741</v>
      </c>
      <c r="F676" s="2">
        <v>400000</v>
      </c>
    </row>
    <row r="677" spans="1:6" x14ac:dyDescent="0.25">
      <c r="A677" t="s">
        <v>267</v>
      </c>
      <c r="B677">
        <v>2</v>
      </c>
      <c r="C677" s="2">
        <v>687500</v>
      </c>
      <c r="D677" s="2" t="s">
        <v>390</v>
      </c>
      <c r="E677" s="1">
        <v>45056</v>
      </c>
      <c r="F677" s="2">
        <v>687500</v>
      </c>
    </row>
    <row r="678" spans="1:6" x14ac:dyDescent="0.25">
      <c r="A678" t="s">
        <v>267</v>
      </c>
      <c r="B678">
        <v>3</v>
      </c>
      <c r="C678" s="2">
        <v>687500</v>
      </c>
      <c r="D678" s="2" t="s">
        <v>390</v>
      </c>
      <c r="E678" s="1">
        <v>45411</v>
      </c>
      <c r="F678" s="2">
        <v>687500</v>
      </c>
    </row>
    <row r="679" spans="1:6" x14ac:dyDescent="0.25">
      <c r="A679" t="s">
        <v>267</v>
      </c>
      <c r="B679">
        <v>4</v>
      </c>
      <c r="C679" s="2">
        <v>687500</v>
      </c>
      <c r="D679" s="2" t="s">
        <v>390</v>
      </c>
      <c r="E679" s="1">
        <v>45876</v>
      </c>
      <c r="F679" s="2">
        <v>687500</v>
      </c>
    </row>
    <row r="680" spans="1:6" x14ac:dyDescent="0.25">
      <c r="A680" t="s">
        <v>267</v>
      </c>
      <c r="B680">
        <v>5</v>
      </c>
      <c r="C680" s="2">
        <v>687500</v>
      </c>
      <c r="D680" s="2" t="s">
        <v>391</v>
      </c>
      <c r="E680" s="1"/>
      <c r="F680" s="2"/>
    </row>
    <row r="681" spans="1:6" x14ac:dyDescent="0.25">
      <c r="A681" t="s">
        <v>268</v>
      </c>
      <c r="B681">
        <v>1</v>
      </c>
      <c r="C681" s="2">
        <v>300000</v>
      </c>
      <c r="D681" s="2" t="s">
        <v>390</v>
      </c>
      <c r="E681" s="1">
        <v>44743</v>
      </c>
      <c r="F681" s="2">
        <v>300000</v>
      </c>
    </row>
    <row r="682" spans="1:6" x14ac:dyDescent="0.25">
      <c r="A682" t="s">
        <v>268</v>
      </c>
      <c r="B682">
        <v>2</v>
      </c>
      <c r="C682" s="2">
        <v>1200000</v>
      </c>
      <c r="D682" s="2" t="s">
        <v>390</v>
      </c>
      <c r="E682" s="1">
        <v>44743</v>
      </c>
      <c r="F682" s="2">
        <v>1200000</v>
      </c>
    </row>
    <row r="683" spans="1:6" x14ac:dyDescent="0.25">
      <c r="A683" t="s">
        <v>268</v>
      </c>
      <c r="B683">
        <v>3</v>
      </c>
      <c r="C683" s="2">
        <v>2400000</v>
      </c>
      <c r="D683" s="2" t="s">
        <v>390</v>
      </c>
      <c r="E683" s="1">
        <v>45135</v>
      </c>
      <c r="F683" s="2">
        <v>2400000</v>
      </c>
    </row>
    <row r="684" spans="1:6" x14ac:dyDescent="0.25">
      <c r="A684" t="s">
        <v>268</v>
      </c>
      <c r="B684">
        <v>4</v>
      </c>
      <c r="C684" s="2">
        <v>2100000</v>
      </c>
      <c r="D684" s="2" t="s">
        <v>390</v>
      </c>
      <c r="E684" s="1">
        <v>45408</v>
      </c>
      <c r="F684" s="2">
        <v>2100000</v>
      </c>
    </row>
    <row r="685" spans="1:6" x14ac:dyDescent="0.25">
      <c r="A685" t="s">
        <v>269</v>
      </c>
      <c r="B685">
        <v>1</v>
      </c>
      <c r="C685" s="2">
        <v>369670.81</v>
      </c>
      <c r="D685" s="2" t="s">
        <v>390</v>
      </c>
      <c r="E685" s="1">
        <v>45477</v>
      </c>
      <c r="F685" s="2">
        <v>369670.81</v>
      </c>
    </row>
    <row r="686" spans="1:6" x14ac:dyDescent="0.25">
      <c r="A686" t="s">
        <v>269</v>
      </c>
      <c r="B686">
        <v>2</v>
      </c>
      <c r="C686" s="2">
        <v>1109012.3999999999</v>
      </c>
      <c r="D686" s="2" t="s">
        <v>390</v>
      </c>
      <c r="E686" s="1">
        <v>45905</v>
      </c>
      <c r="F686" s="2">
        <v>1109012.3999999999</v>
      </c>
    </row>
    <row r="687" spans="1:6" x14ac:dyDescent="0.25">
      <c r="A687" t="s">
        <v>269</v>
      </c>
      <c r="B687">
        <v>3</v>
      </c>
      <c r="C687" s="2">
        <v>1109012.3999999999</v>
      </c>
      <c r="D687" s="2" t="s">
        <v>391</v>
      </c>
      <c r="E687" s="1"/>
      <c r="F687" s="2"/>
    </row>
    <row r="688" spans="1:6" x14ac:dyDescent="0.25">
      <c r="A688" t="s">
        <v>269</v>
      </c>
      <c r="B688">
        <v>4</v>
      </c>
      <c r="C688" s="2">
        <v>1109012.3999999999</v>
      </c>
      <c r="D688" s="2" t="s">
        <v>391</v>
      </c>
      <c r="E688" s="1"/>
      <c r="F688" s="2"/>
    </row>
    <row r="689" spans="1:6" x14ac:dyDescent="0.25">
      <c r="A689" t="s">
        <v>271</v>
      </c>
      <c r="B689">
        <v>1</v>
      </c>
      <c r="C689" s="2">
        <v>485543.03</v>
      </c>
      <c r="D689" s="2" t="s">
        <v>390</v>
      </c>
      <c r="E689" s="1">
        <v>44614</v>
      </c>
      <c r="F689" s="2">
        <v>485543.03</v>
      </c>
    </row>
    <row r="690" spans="1:6" x14ac:dyDescent="0.25">
      <c r="A690" t="s">
        <v>271</v>
      </c>
      <c r="B690">
        <v>2</v>
      </c>
      <c r="C690" s="2">
        <v>485543.04</v>
      </c>
      <c r="D690" s="2" t="s">
        <v>390</v>
      </c>
      <c r="E690" s="1">
        <v>45016</v>
      </c>
      <c r="F690" s="2">
        <v>485543.04</v>
      </c>
    </row>
    <row r="691" spans="1:6" x14ac:dyDescent="0.25">
      <c r="A691" t="s">
        <v>271</v>
      </c>
      <c r="B691">
        <v>3</v>
      </c>
      <c r="C691" s="2">
        <v>485543.04</v>
      </c>
      <c r="D691" s="2" t="s">
        <v>390</v>
      </c>
      <c r="E691" s="1">
        <v>45925</v>
      </c>
      <c r="F691" s="2">
        <v>485543.04</v>
      </c>
    </row>
    <row r="692" spans="1:6" x14ac:dyDescent="0.25">
      <c r="A692" t="s">
        <v>273</v>
      </c>
      <c r="B692">
        <v>1</v>
      </c>
      <c r="C692" s="2">
        <v>181684.36</v>
      </c>
      <c r="D692" s="2" t="s">
        <v>390</v>
      </c>
      <c r="E692" s="1">
        <v>44740</v>
      </c>
      <c r="F692" s="2">
        <v>181684.36</v>
      </c>
    </row>
    <row r="693" spans="1:6" x14ac:dyDescent="0.25">
      <c r="A693" t="s">
        <v>273</v>
      </c>
      <c r="B693">
        <v>2</v>
      </c>
      <c r="C693" s="2">
        <v>181684.36</v>
      </c>
      <c r="D693" s="2" t="s">
        <v>390</v>
      </c>
      <c r="E693" s="1">
        <v>45105</v>
      </c>
      <c r="F693" s="2">
        <v>181684.36</v>
      </c>
    </row>
    <row r="694" spans="1:6" x14ac:dyDescent="0.25">
      <c r="A694" t="s">
        <v>274</v>
      </c>
      <c r="B694">
        <v>1</v>
      </c>
      <c r="C694" s="2">
        <v>75000</v>
      </c>
      <c r="D694" s="2" t="s">
        <v>390</v>
      </c>
      <c r="E694" s="1">
        <v>45077</v>
      </c>
      <c r="F694" s="2">
        <v>75000</v>
      </c>
    </row>
    <row r="695" spans="1:6" x14ac:dyDescent="0.25">
      <c r="A695" t="s">
        <v>274</v>
      </c>
      <c r="B695">
        <v>2</v>
      </c>
      <c r="C695" s="2">
        <v>75000</v>
      </c>
      <c r="D695" s="2" t="s">
        <v>390</v>
      </c>
      <c r="E695" s="1">
        <v>45246</v>
      </c>
      <c r="F695" s="2">
        <v>75000</v>
      </c>
    </row>
    <row r="696" spans="1:6" x14ac:dyDescent="0.25">
      <c r="A696" t="s">
        <v>275</v>
      </c>
      <c r="B696">
        <v>1</v>
      </c>
      <c r="C696" s="2">
        <v>323586.38</v>
      </c>
      <c r="D696" s="2" t="s">
        <v>391</v>
      </c>
      <c r="E696" s="1"/>
      <c r="F696" s="2"/>
    </row>
    <row r="697" spans="1:6" x14ac:dyDescent="0.25">
      <c r="A697" t="s">
        <v>275</v>
      </c>
      <c r="B697">
        <v>2</v>
      </c>
      <c r="C697" s="2">
        <v>276413.62</v>
      </c>
      <c r="D697" s="2" t="s">
        <v>391</v>
      </c>
      <c r="E697" s="1"/>
      <c r="F697" s="2"/>
    </row>
    <row r="698" spans="1:6" x14ac:dyDescent="0.25">
      <c r="A698" t="s">
        <v>277</v>
      </c>
      <c r="B698">
        <v>1</v>
      </c>
      <c r="C698" s="2">
        <v>782620</v>
      </c>
      <c r="D698" s="2" t="s">
        <v>390</v>
      </c>
      <c r="E698" s="1">
        <v>44743</v>
      </c>
      <c r="F698" s="2">
        <v>782620</v>
      </c>
    </row>
    <row r="699" spans="1:6" x14ac:dyDescent="0.25">
      <c r="A699" t="s">
        <v>277</v>
      </c>
      <c r="B699">
        <v>2</v>
      </c>
      <c r="C699" s="2">
        <v>879570</v>
      </c>
      <c r="D699" s="2" t="s">
        <v>390</v>
      </c>
      <c r="E699" s="1">
        <v>45092</v>
      </c>
      <c r="F699" s="2">
        <v>879570</v>
      </c>
    </row>
    <row r="700" spans="1:6" x14ac:dyDescent="0.25">
      <c r="A700" t="s">
        <v>277</v>
      </c>
      <c r="B700">
        <v>3</v>
      </c>
      <c r="C700" s="2">
        <v>1561400</v>
      </c>
      <c r="D700" s="2" t="s">
        <v>390</v>
      </c>
      <c r="E700" s="1">
        <v>45092</v>
      </c>
      <c r="F700" s="2">
        <v>1561400</v>
      </c>
    </row>
    <row r="701" spans="1:6" x14ac:dyDescent="0.25">
      <c r="A701" t="s">
        <v>277</v>
      </c>
      <c r="B701">
        <v>4</v>
      </c>
      <c r="C701" s="2">
        <v>1883000</v>
      </c>
      <c r="D701" s="2" t="s">
        <v>390</v>
      </c>
      <c r="E701" s="1">
        <v>45264</v>
      </c>
      <c r="F701" s="2">
        <v>1883000</v>
      </c>
    </row>
    <row r="702" spans="1:6" x14ac:dyDescent="0.25">
      <c r="A702" t="s">
        <v>277</v>
      </c>
      <c r="B702">
        <v>5</v>
      </c>
      <c r="C702" s="2">
        <v>1821830</v>
      </c>
      <c r="D702" s="2" t="s">
        <v>390</v>
      </c>
      <c r="E702" s="1">
        <v>45411</v>
      </c>
      <c r="F702" s="2">
        <v>1821830</v>
      </c>
    </row>
    <row r="703" spans="1:6" x14ac:dyDescent="0.25">
      <c r="A703" t="s">
        <v>277</v>
      </c>
      <c r="B703">
        <v>6</v>
      </c>
      <c r="C703" s="2">
        <v>1347480</v>
      </c>
      <c r="D703" s="2" t="s">
        <v>390</v>
      </c>
      <c r="E703" s="1">
        <v>45411</v>
      </c>
      <c r="F703" s="2">
        <v>1347480</v>
      </c>
    </row>
    <row r="704" spans="1:6" x14ac:dyDescent="0.25">
      <c r="A704" t="s">
        <v>277</v>
      </c>
      <c r="B704">
        <v>7</v>
      </c>
      <c r="C704" s="2">
        <v>1197400</v>
      </c>
      <c r="D704" s="2" t="s">
        <v>390</v>
      </c>
      <c r="E704" s="1">
        <v>45708</v>
      </c>
      <c r="F704" s="2">
        <v>1197400</v>
      </c>
    </row>
    <row r="705" spans="1:6" x14ac:dyDescent="0.25">
      <c r="A705" t="s">
        <v>277</v>
      </c>
      <c r="B705">
        <v>8</v>
      </c>
      <c r="C705" s="2">
        <v>526700</v>
      </c>
      <c r="D705" s="2" t="s">
        <v>391</v>
      </c>
      <c r="E705" s="1"/>
      <c r="F705" s="2"/>
    </row>
    <row r="706" spans="1:6" x14ac:dyDescent="0.25">
      <c r="A706" t="s">
        <v>410</v>
      </c>
      <c r="B706">
        <v>1</v>
      </c>
      <c r="C706" s="2">
        <v>94812.69</v>
      </c>
      <c r="D706" s="2" t="s">
        <v>390</v>
      </c>
      <c r="E706" s="1">
        <v>44650</v>
      </c>
      <c r="F706" s="2">
        <v>94812.69</v>
      </c>
    </row>
    <row r="707" spans="1:6" x14ac:dyDescent="0.25">
      <c r="A707" t="s">
        <v>410</v>
      </c>
      <c r="B707">
        <v>2</v>
      </c>
      <c r="C707" s="2">
        <v>5255.98</v>
      </c>
      <c r="D707" s="2" t="s">
        <v>390</v>
      </c>
      <c r="E707" s="1">
        <v>44872</v>
      </c>
      <c r="F707" s="2">
        <v>5255.98</v>
      </c>
    </row>
    <row r="708" spans="1:6" x14ac:dyDescent="0.25">
      <c r="A708" t="s">
        <v>410</v>
      </c>
      <c r="B708">
        <v>3</v>
      </c>
      <c r="C708" s="2">
        <v>52635.33</v>
      </c>
      <c r="D708" s="2" t="s">
        <v>390</v>
      </c>
      <c r="E708" s="1">
        <v>45271</v>
      </c>
      <c r="F708" s="2">
        <v>52635.33</v>
      </c>
    </row>
    <row r="709" spans="1:6" x14ac:dyDescent="0.25">
      <c r="A709" t="s">
        <v>279</v>
      </c>
      <c r="B709">
        <v>1</v>
      </c>
      <c r="C709" s="2">
        <v>150000</v>
      </c>
      <c r="D709" s="2" t="s">
        <v>390</v>
      </c>
      <c r="E709" s="1">
        <v>44648</v>
      </c>
      <c r="F709" s="2">
        <v>150000</v>
      </c>
    </row>
    <row r="710" spans="1:6" x14ac:dyDescent="0.25">
      <c r="A710" t="s">
        <v>279</v>
      </c>
      <c r="B710">
        <v>2</v>
      </c>
      <c r="C710" s="2">
        <v>150000</v>
      </c>
      <c r="D710" s="2" t="s">
        <v>390</v>
      </c>
      <c r="E710" s="1">
        <v>45287</v>
      </c>
      <c r="F710" s="2">
        <v>150000</v>
      </c>
    </row>
    <row r="711" spans="1:6" x14ac:dyDescent="0.25">
      <c r="A711" t="s">
        <v>280</v>
      </c>
      <c r="B711">
        <v>1</v>
      </c>
      <c r="C711" s="2">
        <v>25000</v>
      </c>
      <c r="D711" s="2" t="s">
        <v>390</v>
      </c>
      <c r="E711" s="1">
        <v>44743</v>
      </c>
      <c r="F711" s="2">
        <v>25000</v>
      </c>
    </row>
    <row r="712" spans="1:6" x14ac:dyDescent="0.25">
      <c r="A712" t="s">
        <v>280</v>
      </c>
      <c r="B712">
        <v>2</v>
      </c>
      <c r="C712" s="2">
        <v>25000</v>
      </c>
      <c r="D712" s="2" t="s">
        <v>390</v>
      </c>
      <c r="E712" s="1">
        <v>45271</v>
      </c>
      <c r="F712" s="2">
        <v>25000</v>
      </c>
    </row>
    <row r="713" spans="1:6" x14ac:dyDescent="0.25">
      <c r="A713" t="s">
        <v>281</v>
      </c>
      <c r="B713">
        <v>1</v>
      </c>
      <c r="C713" s="2">
        <v>240000</v>
      </c>
      <c r="D713" s="2" t="s">
        <v>390</v>
      </c>
      <c r="E713" s="1">
        <v>44677</v>
      </c>
      <c r="F713" s="2">
        <v>240000</v>
      </c>
    </row>
    <row r="714" spans="1:6" x14ac:dyDescent="0.25">
      <c r="A714" t="s">
        <v>281</v>
      </c>
      <c r="B714">
        <v>2</v>
      </c>
      <c r="C714" s="2">
        <v>600000</v>
      </c>
      <c r="D714" s="2" t="s">
        <v>390</v>
      </c>
      <c r="E714" s="1">
        <v>45435</v>
      </c>
      <c r="F714" s="2">
        <v>600000</v>
      </c>
    </row>
    <row r="715" spans="1:6" x14ac:dyDescent="0.25">
      <c r="A715" t="s">
        <v>281</v>
      </c>
      <c r="B715">
        <v>3</v>
      </c>
      <c r="C715" s="2">
        <v>360000</v>
      </c>
      <c r="D715" s="2" t="s">
        <v>390</v>
      </c>
      <c r="E715" s="1">
        <v>45831</v>
      </c>
      <c r="F715" s="2">
        <v>360000</v>
      </c>
    </row>
    <row r="716" spans="1:6" x14ac:dyDescent="0.25">
      <c r="A716" t="s">
        <v>281</v>
      </c>
      <c r="B716">
        <v>4</v>
      </c>
      <c r="C716" s="2">
        <v>181626.43</v>
      </c>
      <c r="D716" s="2" t="s">
        <v>391</v>
      </c>
      <c r="E716" s="1"/>
      <c r="F716" s="2"/>
    </row>
    <row r="717" spans="1:6" x14ac:dyDescent="0.25">
      <c r="A717" t="s">
        <v>282</v>
      </c>
      <c r="B717">
        <v>1</v>
      </c>
      <c r="C717" s="2">
        <v>1250000</v>
      </c>
      <c r="D717" s="2" t="s">
        <v>390</v>
      </c>
      <c r="E717" s="1">
        <v>44741</v>
      </c>
      <c r="F717" s="2">
        <v>1250000</v>
      </c>
    </row>
    <row r="718" spans="1:6" x14ac:dyDescent="0.25">
      <c r="A718" t="s">
        <v>282</v>
      </c>
      <c r="B718">
        <v>2</v>
      </c>
      <c r="C718" s="2">
        <v>1250000</v>
      </c>
      <c r="D718" s="2" t="s">
        <v>390</v>
      </c>
      <c r="E718" s="1">
        <v>45271</v>
      </c>
      <c r="F718" s="2">
        <v>1250000</v>
      </c>
    </row>
    <row r="719" spans="1:6" x14ac:dyDescent="0.25">
      <c r="A719" t="s">
        <v>283</v>
      </c>
      <c r="B719">
        <v>1</v>
      </c>
      <c r="C719" s="2">
        <v>500000</v>
      </c>
      <c r="D719" s="2" t="s">
        <v>390</v>
      </c>
      <c r="E719" s="1">
        <v>45091</v>
      </c>
      <c r="F719" s="2">
        <v>500000</v>
      </c>
    </row>
    <row r="720" spans="1:6" x14ac:dyDescent="0.25">
      <c r="A720" t="s">
        <v>283</v>
      </c>
      <c r="B720">
        <v>2</v>
      </c>
      <c r="C720" s="2">
        <v>500000</v>
      </c>
      <c r="D720" s="2" t="s">
        <v>390</v>
      </c>
      <c r="E720" s="1">
        <v>45435</v>
      </c>
      <c r="F720" s="2">
        <v>500000</v>
      </c>
    </row>
    <row r="721" spans="1:6" x14ac:dyDescent="0.25">
      <c r="A721" t="s">
        <v>284</v>
      </c>
      <c r="B721">
        <v>1</v>
      </c>
      <c r="C721" s="2">
        <v>50000</v>
      </c>
      <c r="D721" s="2" t="s">
        <v>390</v>
      </c>
      <c r="E721" s="1">
        <v>45478</v>
      </c>
      <c r="F721" s="2">
        <v>50000</v>
      </c>
    </row>
    <row r="722" spans="1:6" x14ac:dyDescent="0.25">
      <c r="A722" t="s">
        <v>284</v>
      </c>
      <c r="B722">
        <v>2</v>
      </c>
      <c r="C722" s="2">
        <v>100000</v>
      </c>
      <c r="D722" s="2" t="s">
        <v>390</v>
      </c>
      <c r="E722" s="1">
        <v>45859</v>
      </c>
      <c r="F722" s="2">
        <v>100000</v>
      </c>
    </row>
    <row r="723" spans="1:6" x14ac:dyDescent="0.25">
      <c r="A723" t="s">
        <v>286</v>
      </c>
      <c r="B723">
        <v>1</v>
      </c>
      <c r="C723" s="2">
        <v>286850</v>
      </c>
      <c r="D723" s="2" t="s">
        <v>390</v>
      </c>
      <c r="E723" s="1">
        <v>44743</v>
      </c>
      <c r="F723" s="2">
        <v>286850</v>
      </c>
    </row>
    <row r="724" spans="1:6" x14ac:dyDescent="0.25">
      <c r="A724" t="s">
        <v>286</v>
      </c>
      <c r="B724">
        <v>2</v>
      </c>
      <c r="C724" s="2">
        <v>213150</v>
      </c>
      <c r="D724" s="2" t="s">
        <v>390</v>
      </c>
      <c r="E724" s="1">
        <v>45856</v>
      </c>
      <c r="F724" s="2">
        <v>213150</v>
      </c>
    </row>
    <row r="725" spans="1:6" x14ac:dyDescent="0.25">
      <c r="A725" t="s">
        <v>288</v>
      </c>
      <c r="B725">
        <v>1</v>
      </c>
      <c r="C725" s="2">
        <v>554568.68999999994</v>
      </c>
      <c r="D725" s="2" t="s">
        <v>390</v>
      </c>
      <c r="E725" s="1">
        <v>44743</v>
      </c>
      <c r="F725" s="2">
        <v>554568.68999999994</v>
      </c>
    </row>
    <row r="726" spans="1:6" x14ac:dyDescent="0.25">
      <c r="A726" t="s">
        <v>288</v>
      </c>
      <c r="B726">
        <v>2</v>
      </c>
      <c r="C726" s="2">
        <v>572185.12</v>
      </c>
      <c r="D726" s="2" t="s">
        <v>390</v>
      </c>
      <c r="E726" s="1">
        <v>45377</v>
      </c>
      <c r="F726" s="2">
        <v>572185.12</v>
      </c>
    </row>
    <row r="727" spans="1:6" x14ac:dyDescent="0.25">
      <c r="A727" t="s">
        <v>288</v>
      </c>
      <c r="B727">
        <v>3</v>
      </c>
      <c r="C727" s="2">
        <v>565620.51</v>
      </c>
      <c r="D727" s="2" t="s">
        <v>390</v>
      </c>
      <c r="E727" s="1">
        <v>45803</v>
      </c>
      <c r="F727" s="2">
        <v>565620.51</v>
      </c>
    </row>
    <row r="728" spans="1:6" x14ac:dyDescent="0.25">
      <c r="A728" t="s">
        <v>288</v>
      </c>
      <c r="B728">
        <v>4</v>
      </c>
      <c r="C728" s="2">
        <v>548378.63</v>
      </c>
      <c r="D728" s="2" t="s">
        <v>391</v>
      </c>
      <c r="E728" s="1"/>
      <c r="F728" s="2"/>
    </row>
    <row r="729" spans="1:6" x14ac:dyDescent="0.25">
      <c r="A729" t="s">
        <v>290</v>
      </c>
      <c r="B729">
        <v>1</v>
      </c>
      <c r="C729" s="2">
        <v>1080000</v>
      </c>
      <c r="D729" s="2" t="s">
        <v>390</v>
      </c>
      <c r="E729" s="1">
        <v>45460</v>
      </c>
      <c r="F729" s="2">
        <v>1080000</v>
      </c>
    </row>
    <row r="730" spans="1:6" x14ac:dyDescent="0.25">
      <c r="A730" t="s">
        <v>290</v>
      </c>
      <c r="B730">
        <v>2</v>
      </c>
      <c r="C730" s="2">
        <v>720000</v>
      </c>
      <c r="D730" s="2" t="s">
        <v>390</v>
      </c>
      <c r="E730" s="1">
        <v>45993</v>
      </c>
      <c r="F730" s="2">
        <v>720000</v>
      </c>
    </row>
    <row r="731" spans="1:6" x14ac:dyDescent="0.25">
      <c r="A731" t="s">
        <v>292</v>
      </c>
      <c r="B731">
        <v>1</v>
      </c>
      <c r="C731" s="2">
        <v>100000</v>
      </c>
      <c r="D731" s="2" t="s">
        <v>390</v>
      </c>
      <c r="E731" s="1">
        <v>45476</v>
      </c>
      <c r="F731" s="2">
        <v>100000</v>
      </c>
    </row>
    <row r="732" spans="1:6" x14ac:dyDescent="0.25">
      <c r="A732" t="s">
        <v>292</v>
      </c>
      <c r="B732">
        <v>2</v>
      </c>
      <c r="C732" s="2">
        <v>922925.91</v>
      </c>
      <c r="D732" s="2" t="s">
        <v>390</v>
      </c>
      <c r="E732" s="1">
        <v>45937</v>
      </c>
      <c r="F732" s="2">
        <v>922925.91</v>
      </c>
    </row>
    <row r="733" spans="1:6" x14ac:dyDescent="0.25">
      <c r="A733" t="s">
        <v>292</v>
      </c>
      <c r="B733">
        <v>3</v>
      </c>
      <c r="C733" s="2">
        <v>550806.26</v>
      </c>
      <c r="D733" s="2" t="s">
        <v>391</v>
      </c>
      <c r="E733" s="1"/>
      <c r="F733" s="2"/>
    </row>
    <row r="734" spans="1:6" x14ac:dyDescent="0.25">
      <c r="A734" t="s">
        <v>294</v>
      </c>
      <c r="B734">
        <v>1</v>
      </c>
      <c r="C734" s="2">
        <v>281932.57</v>
      </c>
      <c r="D734" s="2" t="s">
        <v>390</v>
      </c>
      <c r="E734" s="1">
        <v>44664</v>
      </c>
      <c r="F734" s="2">
        <v>281932.57</v>
      </c>
    </row>
    <row r="735" spans="1:6" x14ac:dyDescent="0.25">
      <c r="A735" t="s">
        <v>294</v>
      </c>
      <c r="B735">
        <v>2</v>
      </c>
      <c r="C735" s="2">
        <v>308848.78999999998</v>
      </c>
      <c r="D735" s="2" t="s">
        <v>390</v>
      </c>
      <c r="E735" s="1">
        <v>45364</v>
      </c>
      <c r="F735" s="2">
        <v>308848.78999999998</v>
      </c>
    </row>
    <row r="736" spans="1:6" x14ac:dyDescent="0.25">
      <c r="A736" t="s">
        <v>294</v>
      </c>
      <c r="B736">
        <v>3</v>
      </c>
      <c r="C736" s="2">
        <v>355808.64</v>
      </c>
      <c r="D736" s="2" t="s">
        <v>390</v>
      </c>
      <c r="E736" s="1">
        <v>45782</v>
      </c>
      <c r="F736" s="2">
        <v>355808.64</v>
      </c>
    </row>
    <row r="737" spans="1:6" x14ac:dyDescent="0.25">
      <c r="A737" t="s">
        <v>294</v>
      </c>
      <c r="B737">
        <v>4</v>
      </c>
      <c r="C737" s="2">
        <v>233247.73</v>
      </c>
      <c r="D737" s="2" t="s">
        <v>390</v>
      </c>
      <c r="E737" s="1">
        <v>45953</v>
      </c>
      <c r="F737" s="2">
        <v>233247.73</v>
      </c>
    </row>
    <row r="738" spans="1:6" x14ac:dyDescent="0.25">
      <c r="A738" t="s">
        <v>294</v>
      </c>
      <c r="B738">
        <v>5</v>
      </c>
      <c r="C738" s="2">
        <v>150440.41</v>
      </c>
      <c r="D738" s="2" t="s">
        <v>390</v>
      </c>
      <c r="E738" s="1">
        <v>45953</v>
      </c>
      <c r="F738" s="2">
        <v>150440.41</v>
      </c>
    </row>
    <row r="739" spans="1:6" x14ac:dyDescent="0.25">
      <c r="A739" t="s">
        <v>294</v>
      </c>
      <c r="B739">
        <v>6</v>
      </c>
      <c r="C739" s="2">
        <v>132476.09</v>
      </c>
      <c r="D739" s="2" t="s">
        <v>391</v>
      </c>
      <c r="E739" s="1"/>
      <c r="F739" s="2"/>
    </row>
    <row r="740" spans="1:6" x14ac:dyDescent="0.25">
      <c r="A740" t="s">
        <v>296</v>
      </c>
      <c r="B740">
        <v>1</v>
      </c>
      <c r="C740" s="2">
        <v>1488556.48</v>
      </c>
      <c r="D740" s="2" t="s">
        <v>390</v>
      </c>
      <c r="E740" s="1">
        <v>44740</v>
      </c>
      <c r="F740" s="2">
        <v>1488556.48</v>
      </c>
    </row>
    <row r="741" spans="1:6" x14ac:dyDescent="0.25">
      <c r="A741" t="s">
        <v>296</v>
      </c>
      <c r="B741">
        <v>2</v>
      </c>
      <c r="C741" s="2">
        <v>3543990.58</v>
      </c>
      <c r="D741" s="2" t="s">
        <v>390</v>
      </c>
      <c r="E741" s="1">
        <v>45020</v>
      </c>
      <c r="F741" s="2">
        <v>3543990.58</v>
      </c>
    </row>
    <row r="742" spans="1:6" x14ac:dyDescent="0.25">
      <c r="A742" t="s">
        <v>296</v>
      </c>
      <c r="B742">
        <v>3</v>
      </c>
      <c r="C742" s="2">
        <v>3524038.84</v>
      </c>
      <c r="D742" s="2" t="s">
        <v>390</v>
      </c>
      <c r="E742" s="1">
        <v>45265</v>
      </c>
      <c r="F742" s="2">
        <v>3524038.84</v>
      </c>
    </row>
    <row r="743" spans="1:6" x14ac:dyDescent="0.25">
      <c r="A743" t="s">
        <v>296</v>
      </c>
      <c r="B743">
        <v>4</v>
      </c>
      <c r="C743" s="2">
        <v>1443414.13</v>
      </c>
      <c r="D743" s="2" t="s">
        <v>390</v>
      </c>
      <c r="E743" s="1">
        <v>45866</v>
      </c>
      <c r="F743" s="2">
        <v>1443414.13</v>
      </c>
    </row>
    <row r="744" spans="1:6" x14ac:dyDescent="0.25">
      <c r="A744" t="s">
        <v>297</v>
      </c>
      <c r="B744">
        <v>1</v>
      </c>
      <c r="C744" s="2">
        <v>1254789.1299999999</v>
      </c>
      <c r="D744" s="2" t="s">
        <v>390</v>
      </c>
      <c r="E744" s="1">
        <v>44740</v>
      </c>
      <c r="F744" s="2">
        <v>1254789.1299999999</v>
      </c>
    </row>
    <row r="745" spans="1:6" x14ac:dyDescent="0.25">
      <c r="A745" t="s">
        <v>297</v>
      </c>
      <c r="B745">
        <v>2</v>
      </c>
      <c r="C745" s="2">
        <v>941091.85</v>
      </c>
      <c r="D745" s="2" t="s">
        <v>390</v>
      </c>
      <c r="E745" s="1">
        <v>45019</v>
      </c>
      <c r="F745" s="2">
        <v>941091.85</v>
      </c>
    </row>
    <row r="746" spans="1:6" x14ac:dyDescent="0.25">
      <c r="A746" t="s">
        <v>297</v>
      </c>
      <c r="B746">
        <v>3</v>
      </c>
      <c r="C746" s="2">
        <v>941091.85</v>
      </c>
      <c r="D746" s="2" t="s">
        <v>390</v>
      </c>
      <c r="E746" s="1">
        <v>45397</v>
      </c>
      <c r="F746" s="2">
        <v>941091.85</v>
      </c>
    </row>
    <row r="747" spans="1:6" x14ac:dyDescent="0.25">
      <c r="A747" t="s">
        <v>298</v>
      </c>
      <c r="B747">
        <v>1</v>
      </c>
      <c r="C747" s="2">
        <v>200000</v>
      </c>
      <c r="D747" s="2" t="s">
        <v>390</v>
      </c>
      <c r="E747" s="1">
        <v>44743</v>
      </c>
      <c r="F747" s="2">
        <v>200000</v>
      </c>
    </row>
    <row r="748" spans="1:6" x14ac:dyDescent="0.25">
      <c r="A748" t="s">
        <v>298</v>
      </c>
      <c r="B748">
        <v>2</v>
      </c>
      <c r="C748" s="2">
        <v>284664.96999999997</v>
      </c>
      <c r="D748" s="2" t="s">
        <v>390</v>
      </c>
      <c r="E748" s="1">
        <v>45019</v>
      </c>
      <c r="F748" s="2">
        <v>284664.96999999997</v>
      </c>
    </row>
    <row r="749" spans="1:6" x14ac:dyDescent="0.25">
      <c r="A749" t="s">
        <v>298</v>
      </c>
      <c r="B749">
        <v>3</v>
      </c>
      <c r="C749" s="2">
        <v>284664.96999999997</v>
      </c>
      <c r="D749" s="2" t="s">
        <v>390</v>
      </c>
      <c r="E749" s="1">
        <v>45394</v>
      </c>
      <c r="F749" s="2">
        <v>284664.96999999997</v>
      </c>
    </row>
    <row r="750" spans="1:6" x14ac:dyDescent="0.25">
      <c r="A750" t="s">
        <v>298</v>
      </c>
      <c r="B750">
        <v>4</v>
      </c>
      <c r="C750" s="2">
        <v>271269.43</v>
      </c>
      <c r="D750" s="2" t="s">
        <v>390</v>
      </c>
      <c r="E750" s="1">
        <v>45782</v>
      </c>
      <c r="F750" s="2">
        <v>271269.43</v>
      </c>
    </row>
    <row r="751" spans="1:6" x14ac:dyDescent="0.25">
      <c r="A751" t="s">
        <v>299</v>
      </c>
      <c r="B751">
        <v>1</v>
      </c>
      <c r="C751" s="2">
        <v>300000</v>
      </c>
      <c r="D751" s="2" t="s">
        <v>390</v>
      </c>
      <c r="E751" s="1">
        <v>44743</v>
      </c>
      <c r="F751" s="2">
        <v>300000</v>
      </c>
    </row>
    <row r="752" spans="1:6" x14ac:dyDescent="0.25">
      <c r="A752" t="s">
        <v>299</v>
      </c>
      <c r="B752">
        <v>2</v>
      </c>
      <c r="C752" s="2">
        <v>1643816</v>
      </c>
      <c r="D752" s="2" t="s">
        <v>390</v>
      </c>
      <c r="E752" s="1">
        <v>45020</v>
      </c>
      <c r="F752" s="2">
        <v>1643816</v>
      </c>
    </row>
    <row r="753" spans="1:6" x14ac:dyDescent="0.25">
      <c r="A753" t="s">
        <v>299</v>
      </c>
      <c r="B753">
        <v>3</v>
      </c>
      <c r="C753" s="2">
        <v>1643816</v>
      </c>
      <c r="D753" s="2" t="s">
        <v>390</v>
      </c>
      <c r="E753" s="1">
        <v>45411</v>
      </c>
      <c r="F753" s="2">
        <v>1643816</v>
      </c>
    </row>
    <row r="754" spans="1:6" x14ac:dyDescent="0.25">
      <c r="A754" t="s">
        <v>299</v>
      </c>
      <c r="B754">
        <v>4</v>
      </c>
      <c r="C754" s="2">
        <v>1643816</v>
      </c>
      <c r="D754" s="2" t="s">
        <v>390</v>
      </c>
      <c r="E754" s="1">
        <v>45873</v>
      </c>
      <c r="F754" s="2">
        <v>1643816</v>
      </c>
    </row>
    <row r="755" spans="1:6" x14ac:dyDescent="0.25">
      <c r="A755" t="s">
        <v>300</v>
      </c>
      <c r="B755">
        <v>1</v>
      </c>
      <c r="C755" s="2">
        <v>298275.19</v>
      </c>
      <c r="D755" s="2" t="s">
        <v>390</v>
      </c>
      <c r="E755" s="1">
        <v>44743</v>
      </c>
      <c r="F755" s="2">
        <v>298275.19</v>
      </c>
    </row>
    <row r="756" spans="1:6" x14ac:dyDescent="0.25">
      <c r="A756" t="s">
        <v>300</v>
      </c>
      <c r="B756">
        <v>2</v>
      </c>
      <c r="C756" s="2">
        <v>1397151.84</v>
      </c>
      <c r="D756" s="2" t="s">
        <v>390</v>
      </c>
      <c r="E756" s="1">
        <v>45019</v>
      </c>
      <c r="F756" s="2">
        <v>1397151.84</v>
      </c>
    </row>
    <row r="757" spans="1:6" x14ac:dyDescent="0.25">
      <c r="A757" t="s">
        <v>300</v>
      </c>
      <c r="B757">
        <v>3</v>
      </c>
      <c r="C757" s="2">
        <v>1308059.74</v>
      </c>
      <c r="D757" s="2" t="s">
        <v>390</v>
      </c>
      <c r="E757" s="1">
        <v>45019</v>
      </c>
      <c r="F757" s="2">
        <v>1308059.74</v>
      </c>
    </row>
    <row r="758" spans="1:6" x14ac:dyDescent="0.25">
      <c r="A758" t="s">
        <v>300</v>
      </c>
      <c r="B758">
        <v>4</v>
      </c>
      <c r="C758" s="2">
        <v>326723.31</v>
      </c>
      <c r="D758" s="2" t="s">
        <v>390</v>
      </c>
      <c r="E758" s="1">
        <v>45873</v>
      </c>
      <c r="F758" s="2">
        <v>326723.31</v>
      </c>
    </row>
    <row r="759" spans="1:6" x14ac:dyDescent="0.25">
      <c r="A759" t="s">
        <v>302</v>
      </c>
      <c r="B759">
        <v>1</v>
      </c>
      <c r="C759" s="2">
        <v>3654688.1</v>
      </c>
      <c r="D759" s="2" t="s">
        <v>390</v>
      </c>
      <c r="E759" s="1">
        <v>45919</v>
      </c>
      <c r="F759" s="2">
        <v>3654688.1</v>
      </c>
    </row>
    <row r="760" spans="1:6" x14ac:dyDescent="0.25">
      <c r="A760" t="s">
        <v>302</v>
      </c>
      <c r="B760">
        <v>2</v>
      </c>
      <c r="C760" s="2">
        <v>3654688.1</v>
      </c>
      <c r="D760" s="2" t="s">
        <v>391</v>
      </c>
      <c r="E760" s="1"/>
      <c r="F760" s="2"/>
    </row>
    <row r="761" spans="1:6" x14ac:dyDescent="0.25">
      <c r="A761" t="s">
        <v>302</v>
      </c>
      <c r="B761">
        <v>3</v>
      </c>
      <c r="C761" s="2">
        <v>3654688.1</v>
      </c>
      <c r="D761" s="2" t="s">
        <v>391</v>
      </c>
      <c r="E761" s="1"/>
      <c r="F761" s="2"/>
    </row>
    <row r="762" spans="1:6" x14ac:dyDescent="0.25">
      <c r="A762" t="s">
        <v>304</v>
      </c>
      <c r="B762">
        <v>1</v>
      </c>
      <c r="C762" s="2">
        <v>100000</v>
      </c>
      <c r="D762" s="2" t="s">
        <v>390</v>
      </c>
      <c r="E762" s="1">
        <v>45021</v>
      </c>
      <c r="F762" s="2">
        <v>100000</v>
      </c>
    </row>
    <row r="763" spans="1:6" x14ac:dyDescent="0.25">
      <c r="A763" t="s">
        <v>304</v>
      </c>
      <c r="B763">
        <v>2</v>
      </c>
      <c r="C763" s="2">
        <v>100000</v>
      </c>
      <c r="D763" s="2" t="s">
        <v>391</v>
      </c>
      <c r="E763" s="1"/>
      <c r="F763" s="2"/>
    </row>
    <row r="764" spans="1:6" x14ac:dyDescent="0.25">
      <c r="A764" t="s">
        <v>306</v>
      </c>
      <c r="B764">
        <v>1</v>
      </c>
      <c r="C764" s="2">
        <v>550173.25</v>
      </c>
      <c r="D764" s="2" t="s">
        <v>390</v>
      </c>
      <c r="E764" s="1">
        <v>44741</v>
      </c>
      <c r="F764" s="2">
        <v>550173.25</v>
      </c>
    </row>
    <row r="765" spans="1:6" x14ac:dyDescent="0.25">
      <c r="A765" t="s">
        <v>306</v>
      </c>
      <c r="B765">
        <v>2</v>
      </c>
      <c r="C765" s="2">
        <v>733564.33</v>
      </c>
      <c r="D765" s="2" t="s">
        <v>390</v>
      </c>
      <c r="E765" s="1">
        <v>45226</v>
      </c>
      <c r="F765" s="2">
        <v>733564.33</v>
      </c>
    </row>
    <row r="766" spans="1:6" x14ac:dyDescent="0.25">
      <c r="A766" t="s">
        <v>306</v>
      </c>
      <c r="B766">
        <v>3</v>
      </c>
      <c r="C766" s="2">
        <v>550173.25</v>
      </c>
      <c r="D766" s="2" t="s">
        <v>390</v>
      </c>
      <c r="E766" s="1">
        <v>45533</v>
      </c>
      <c r="F766" s="2">
        <v>550173.25</v>
      </c>
    </row>
    <row r="767" spans="1:6" x14ac:dyDescent="0.25">
      <c r="A767" t="s">
        <v>307</v>
      </c>
      <c r="B767">
        <v>1</v>
      </c>
      <c r="C767" s="2">
        <v>200000</v>
      </c>
      <c r="D767" s="2" t="s">
        <v>390</v>
      </c>
      <c r="E767" s="1">
        <v>44743</v>
      </c>
      <c r="F767" s="2">
        <v>200000</v>
      </c>
    </row>
    <row r="768" spans="1:6" x14ac:dyDescent="0.25">
      <c r="A768" t="s">
        <v>307</v>
      </c>
      <c r="B768">
        <v>2</v>
      </c>
      <c r="C768" s="2">
        <v>300000</v>
      </c>
      <c r="D768" s="2" t="s">
        <v>390</v>
      </c>
      <c r="E768" s="1">
        <v>45181</v>
      </c>
      <c r="F768" s="2">
        <v>300000</v>
      </c>
    </row>
    <row r="769" spans="1:6" x14ac:dyDescent="0.25">
      <c r="A769" t="s">
        <v>307</v>
      </c>
      <c r="B769">
        <v>3</v>
      </c>
      <c r="C769" s="2">
        <v>300000</v>
      </c>
      <c r="D769" s="2" t="s">
        <v>390</v>
      </c>
      <c r="E769" s="1">
        <v>45287</v>
      </c>
      <c r="F769" s="2">
        <v>300000</v>
      </c>
    </row>
    <row r="770" spans="1:6" x14ac:dyDescent="0.25">
      <c r="A770" t="s">
        <v>309</v>
      </c>
      <c r="B770">
        <v>1</v>
      </c>
      <c r="C770" s="2">
        <v>9000000</v>
      </c>
      <c r="D770" s="2" t="s">
        <v>390</v>
      </c>
      <c r="E770" s="1">
        <v>43920</v>
      </c>
      <c r="F770" s="2">
        <v>9000000</v>
      </c>
    </row>
    <row r="771" spans="1:6" x14ac:dyDescent="0.25">
      <c r="A771" t="s">
        <v>309</v>
      </c>
      <c r="B771">
        <v>2</v>
      </c>
      <c r="C771" s="2">
        <v>8000000</v>
      </c>
      <c r="D771" s="2" t="s">
        <v>390</v>
      </c>
      <c r="E771" s="1">
        <v>44529</v>
      </c>
      <c r="F771" s="2">
        <v>8000000</v>
      </c>
    </row>
    <row r="772" spans="1:6" x14ac:dyDescent="0.25">
      <c r="A772" t="s">
        <v>309</v>
      </c>
      <c r="B772">
        <v>3</v>
      </c>
      <c r="C772" s="2">
        <v>319837.61</v>
      </c>
      <c r="D772" s="2" t="s">
        <v>391</v>
      </c>
      <c r="E772" s="1"/>
      <c r="F772" s="2"/>
    </row>
    <row r="773" spans="1:6" x14ac:dyDescent="0.25">
      <c r="A773" t="s">
        <v>310</v>
      </c>
      <c r="B773">
        <v>1</v>
      </c>
      <c r="C773" s="2">
        <v>199491.98</v>
      </c>
      <c r="D773" s="2" t="s">
        <v>390</v>
      </c>
      <c r="E773" s="1">
        <v>44698</v>
      </c>
      <c r="F773" s="2">
        <v>199491.98</v>
      </c>
    </row>
    <row r="774" spans="1:6" x14ac:dyDescent="0.25">
      <c r="A774" t="s">
        <v>310</v>
      </c>
      <c r="B774">
        <v>2</v>
      </c>
      <c r="C774" s="2">
        <v>85496.56</v>
      </c>
      <c r="D774" s="2" t="s">
        <v>390</v>
      </c>
      <c r="E774" s="1">
        <v>45215</v>
      </c>
      <c r="F774" s="2">
        <v>85496.56</v>
      </c>
    </row>
    <row r="775" spans="1:6" x14ac:dyDescent="0.25">
      <c r="A775" t="s">
        <v>311</v>
      </c>
      <c r="B775">
        <v>1</v>
      </c>
      <c r="C775" s="2">
        <v>1000000</v>
      </c>
      <c r="D775" s="2" t="s">
        <v>390</v>
      </c>
      <c r="E775" s="1">
        <v>44742</v>
      </c>
      <c r="F775" s="2">
        <v>1000000</v>
      </c>
    </row>
    <row r="776" spans="1:6" x14ac:dyDescent="0.25">
      <c r="A776" t="s">
        <v>311</v>
      </c>
      <c r="B776">
        <v>2</v>
      </c>
      <c r="C776" s="2">
        <v>1500000</v>
      </c>
      <c r="D776" s="2" t="s">
        <v>390</v>
      </c>
      <c r="E776" s="1">
        <v>45133</v>
      </c>
      <c r="F776" s="2">
        <v>1500000</v>
      </c>
    </row>
    <row r="777" spans="1:6" x14ac:dyDescent="0.25">
      <c r="A777" t="s">
        <v>311</v>
      </c>
      <c r="B777">
        <v>3</v>
      </c>
      <c r="C777" s="2">
        <v>2000000</v>
      </c>
      <c r="D777" s="2" t="s">
        <v>390</v>
      </c>
      <c r="E777" s="1">
        <v>45544</v>
      </c>
      <c r="F777" s="2">
        <v>2000000</v>
      </c>
    </row>
    <row r="778" spans="1:6" x14ac:dyDescent="0.25">
      <c r="A778" t="s">
        <v>311</v>
      </c>
      <c r="B778">
        <v>4</v>
      </c>
      <c r="C778" s="2">
        <v>2500000</v>
      </c>
      <c r="D778" s="2" t="s">
        <v>391</v>
      </c>
      <c r="E778" s="1"/>
      <c r="F778" s="2"/>
    </row>
    <row r="779" spans="1:6" x14ac:dyDescent="0.25">
      <c r="A779" t="s">
        <v>311</v>
      </c>
      <c r="B779">
        <v>5</v>
      </c>
      <c r="C779" s="2">
        <v>2500000</v>
      </c>
      <c r="D779" s="2" t="s">
        <v>391</v>
      </c>
      <c r="E779" s="1"/>
      <c r="F779" s="2"/>
    </row>
    <row r="780" spans="1:6" x14ac:dyDescent="0.25">
      <c r="A780" t="s">
        <v>311</v>
      </c>
      <c r="B780">
        <v>6</v>
      </c>
      <c r="C780" s="2">
        <v>2500000</v>
      </c>
      <c r="D780" s="2" t="s">
        <v>391</v>
      </c>
      <c r="E780" s="1"/>
      <c r="F780" s="2"/>
    </row>
    <row r="781" spans="1:6" x14ac:dyDescent="0.25">
      <c r="A781" t="s">
        <v>312</v>
      </c>
      <c r="B781">
        <v>1</v>
      </c>
      <c r="C781" s="2">
        <v>1219500</v>
      </c>
      <c r="D781" s="2" t="s">
        <v>390</v>
      </c>
      <c r="E781" s="1">
        <v>44734</v>
      </c>
      <c r="F781" s="2">
        <v>1219500</v>
      </c>
    </row>
    <row r="782" spans="1:6" x14ac:dyDescent="0.25">
      <c r="A782" t="s">
        <v>312</v>
      </c>
      <c r="B782">
        <v>2</v>
      </c>
      <c r="C782" s="2">
        <v>568800</v>
      </c>
      <c r="D782" s="2" t="s">
        <v>390</v>
      </c>
      <c r="E782" s="1">
        <v>45601</v>
      </c>
      <c r="F782" s="2">
        <v>568800</v>
      </c>
    </row>
    <row r="783" spans="1:6" x14ac:dyDescent="0.25">
      <c r="A783" t="s">
        <v>312</v>
      </c>
      <c r="B783">
        <v>3</v>
      </c>
      <c r="C783" s="2">
        <v>423778.41</v>
      </c>
      <c r="D783" s="2" t="s">
        <v>390</v>
      </c>
      <c r="E783" s="1">
        <v>45820</v>
      </c>
      <c r="F783" s="2">
        <v>423778.41</v>
      </c>
    </row>
    <row r="784" spans="1:6" x14ac:dyDescent="0.25">
      <c r="A784" t="s">
        <v>313</v>
      </c>
      <c r="B784">
        <v>1</v>
      </c>
      <c r="C784" s="2">
        <v>94326.080000000002</v>
      </c>
      <c r="D784" s="2" t="s">
        <v>390</v>
      </c>
      <c r="E784" s="1">
        <v>44740</v>
      </c>
      <c r="F784" s="2">
        <v>94326.080000000002</v>
      </c>
    </row>
    <row r="785" spans="1:6" x14ac:dyDescent="0.25">
      <c r="A785" t="s">
        <v>313</v>
      </c>
      <c r="B785">
        <v>2</v>
      </c>
      <c r="C785" s="2">
        <v>158722.71</v>
      </c>
      <c r="D785" s="2" t="s">
        <v>390</v>
      </c>
      <c r="E785" s="1">
        <v>45287</v>
      </c>
      <c r="F785" s="2">
        <v>158722.71</v>
      </c>
    </row>
    <row r="786" spans="1:6" x14ac:dyDescent="0.25">
      <c r="A786" t="s">
        <v>313</v>
      </c>
      <c r="B786">
        <v>3</v>
      </c>
      <c r="C786" s="2">
        <v>189510.07</v>
      </c>
      <c r="D786" s="2" t="s">
        <v>390</v>
      </c>
      <c r="E786" s="1">
        <v>45807</v>
      </c>
      <c r="F786" s="2">
        <v>189510.07</v>
      </c>
    </row>
    <row r="787" spans="1:6" x14ac:dyDescent="0.25">
      <c r="A787" t="s">
        <v>314</v>
      </c>
      <c r="B787">
        <v>1</v>
      </c>
      <c r="C787" s="2">
        <v>39849.21</v>
      </c>
      <c r="D787" s="2" t="s">
        <v>390</v>
      </c>
      <c r="E787" s="1">
        <v>44741</v>
      </c>
      <c r="F787" s="2">
        <v>39849.21</v>
      </c>
    </row>
    <row r="788" spans="1:6" x14ac:dyDescent="0.25">
      <c r="A788" t="s">
        <v>314</v>
      </c>
      <c r="B788">
        <v>2</v>
      </c>
      <c r="C788" s="2">
        <v>77736.92</v>
      </c>
      <c r="D788" s="2" t="s">
        <v>390</v>
      </c>
      <c r="E788" s="1">
        <v>45411</v>
      </c>
      <c r="F788" s="2">
        <v>77736.92</v>
      </c>
    </row>
    <row r="789" spans="1:6" x14ac:dyDescent="0.25">
      <c r="A789" t="s">
        <v>314</v>
      </c>
      <c r="B789">
        <v>3</v>
      </c>
      <c r="C789" s="2">
        <v>86558.18</v>
      </c>
      <c r="D789" s="2" t="s">
        <v>391</v>
      </c>
      <c r="E789" s="1"/>
      <c r="F789" s="2"/>
    </row>
    <row r="790" spans="1:6" x14ac:dyDescent="0.25">
      <c r="A790" t="s">
        <v>315</v>
      </c>
      <c r="B790">
        <v>1</v>
      </c>
      <c r="C790" s="2">
        <v>87460.69</v>
      </c>
      <c r="D790" s="2" t="s">
        <v>390</v>
      </c>
      <c r="E790" s="1">
        <v>44743</v>
      </c>
      <c r="F790" s="2">
        <v>87460.69</v>
      </c>
    </row>
    <row r="791" spans="1:6" x14ac:dyDescent="0.25">
      <c r="A791" t="s">
        <v>315</v>
      </c>
      <c r="B791">
        <v>2</v>
      </c>
      <c r="C791" s="2">
        <v>352161.14</v>
      </c>
      <c r="D791" s="2" t="s">
        <v>391</v>
      </c>
      <c r="E791" s="1"/>
      <c r="F791" s="2"/>
    </row>
    <row r="792" spans="1:6" x14ac:dyDescent="0.25">
      <c r="A792" t="s">
        <v>315</v>
      </c>
      <c r="B792">
        <v>3</v>
      </c>
      <c r="C792" s="2">
        <v>435627.79</v>
      </c>
      <c r="D792" s="2" t="s">
        <v>391</v>
      </c>
      <c r="E792" s="1"/>
      <c r="F792" s="2"/>
    </row>
    <row r="793" spans="1:6" x14ac:dyDescent="0.25">
      <c r="A793" t="s">
        <v>315</v>
      </c>
      <c r="B793">
        <v>4</v>
      </c>
      <c r="C793" s="2">
        <v>130606.28</v>
      </c>
      <c r="D793" s="2" t="s">
        <v>391</v>
      </c>
      <c r="E793" s="1"/>
      <c r="F793" s="2"/>
    </row>
    <row r="794" spans="1:6" x14ac:dyDescent="0.25">
      <c r="A794" t="s">
        <v>316</v>
      </c>
      <c r="B794">
        <v>1</v>
      </c>
      <c r="C794" s="2">
        <v>300000</v>
      </c>
      <c r="D794" s="2" t="s">
        <v>390</v>
      </c>
      <c r="E794" s="1">
        <v>44743</v>
      </c>
      <c r="F794" s="2">
        <v>300000</v>
      </c>
    </row>
    <row r="795" spans="1:6" x14ac:dyDescent="0.25">
      <c r="A795" t="s">
        <v>316</v>
      </c>
      <c r="B795">
        <v>2</v>
      </c>
      <c r="C795" s="2">
        <v>9698241.7599999998</v>
      </c>
      <c r="D795" s="2" t="s">
        <v>390</v>
      </c>
      <c r="E795" s="1">
        <v>45071</v>
      </c>
      <c r="F795" s="2">
        <v>9698241.7599999998</v>
      </c>
    </row>
    <row r="796" spans="1:6" x14ac:dyDescent="0.25">
      <c r="A796" t="s">
        <v>316</v>
      </c>
      <c r="B796">
        <v>3</v>
      </c>
      <c r="C796" s="2">
        <v>9698241.7599999998</v>
      </c>
      <c r="D796" s="2" t="s">
        <v>390</v>
      </c>
      <c r="E796" s="1">
        <v>45071</v>
      </c>
      <c r="F796" s="2">
        <v>9698241.7599999998</v>
      </c>
    </row>
    <row r="797" spans="1:6" x14ac:dyDescent="0.25">
      <c r="A797" t="s">
        <v>316</v>
      </c>
      <c r="B797">
        <v>4</v>
      </c>
      <c r="C797" s="2">
        <v>9698241.7599999998</v>
      </c>
      <c r="D797" s="2" t="s">
        <v>391</v>
      </c>
      <c r="E797" s="1"/>
      <c r="F797" s="2"/>
    </row>
    <row r="798" spans="1:6" x14ac:dyDescent="0.25">
      <c r="A798" t="s">
        <v>317</v>
      </c>
      <c r="B798">
        <v>1</v>
      </c>
      <c r="C798" s="2">
        <v>500000</v>
      </c>
      <c r="D798" s="2" t="s">
        <v>390</v>
      </c>
      <c r="E798" s="1">
        <v>44743</v>
      </c>
      <c r="F798" s="2">
        <v>500000</v>
      </c>
    </row>
    <row r="799" spans="1:6" x14ac:dyDescent="0.25">
      <c r="A799" t="s">
        <v>317</v>
      </c>
      <c r="B799">
        <v>2</v>
      </c>
      <c r="C799" s="2">
        <v>3160000</v>
      </c>
      <c r="D799" s="2" t="s">
        <v>390</v>
      </c>
      <c r="E799" s="1">
        <v>45079</v>
      </c>
      <c r="F799" s="2">
        <v>3160000</v>
      </c>
    </row>
    <row r="800" spans="1:6" x14ac:dyDescent="0.25">
      <c r="A800" t="s">
        <v>317</v>
      </c>
      <c r="B800">
        <v>3</v>
      </c>
      <c r="C800" s="2">
        <v>3160000</v>
      </c>
      <c r="D800" s="2" t="s">
        <v>390</v>
      </c>
      <c r="E800" s="1">
        <v>45399</v>
      </c>
      <c r="F800" s="2">
        <v>3160000</v>
      </c>
    </row>
    <row r="801" spans="1:6" x14ac:dyDescent="0.25">
      <c r="A801" t="s">
        <v>317</v>
      </c>
      <c r="B801">
        <v>4</v>
      </c>
      <c r="C801" s="2">
        <v>3180000</v>
      </c>
      <c r="D801" s="2" t="s">
        <v>390</v>
      </c>
      <c r="E801" s="1">
        <v>45714</v>
      </c>
      <c r="F801" s="2">
        <v>3180000</v>
      </c>
    </row>
    <row r="802" spans="1:6" x14ac:dyDescent="0.25">
      <c r="A802" t="s">
        <v>318</v>
      </c>
      <c r="B802">
        <v>1</v>
      </c>
      <c r="C802" s="2">
        <v>498748.44</v>
      </c>
      <c r="D802" s="2" t="s">
        <v>390</v>
      </c>
      <c r="E802" s="1">
        <v>44742</v>
      </c>
      <c r="F802" s="2">
        <v>498748.44</v>
      </c>
    </row>
    <row r="803" spans="1:6" x14ac:dyDescent="0.25">
      <c r="A803" t="s">
        <v>318</v>
      </c>
      <c r="B803">
        <v>2</v>
      </c>
      <c r="C803" s="2">
        <v>1090700.01</v>
      </c>
      <c r="D803" s="2" t="s">
        <v>390</v>
      </c>
      <c r="E803" s="1">
        <v>45278</v>
      </c>
      <c r="F803" s="2">
        <v>1090700.01</v>
      </c>
    </row>
    <row r="804" spans="1:6" x14ac:dyDescent="0.25">
      <c r="A804" t="s">
        <v>318</v>
      </c>
      <c r="B804">
        <v>3</v>
      </c>
      <c r="C804" s="2">
        <v>1289944.7</v>
      </c>
      <c r="D804" s="2" t="s">
        <v>391</v>
      </c>
      <c r="E804" s="1"/>
      <c r="F804" s="2"/>
    </row>
    <row r="805" spans="1:6" x14ac:dyDescent="0.25">
      <c r="A805" t="s">
        <v>318</v>
      </c>
      <c r="B805">
        <v>4</v>
      </c>
      <c r="C805" s="2">
        <v>1100630.69</v>
      </c>
      <c r="D805" s="2" t="s">
        <v>391</v>
      </c>
      <c r="E805" s="1"/>
      <c r="F805" s="2"/>
    </row>
    <row r="806" spans="1:6" x14ac:dyDescent="0.25">
      <c r="A806" t="s">
        <v>319</v>
      </c>
      <c r="B806">
        <v>1</v>
      </c>
      <c r="C806" s="2">
        <v>500000</v>
      </c>
      <c r="D806" s="2" t="s">
        <v>390</v>
      </c>
      <c r="E806" s="1">
        <v>44743</v>
      </c>
      <c r="F806" s="2">
        <v>500000</v>
      </c>
    </row>
    <row r="807" spans="1:6" x14ac:dyDescent="0.25">
      <c r="A807" t="s">
        <v>319</v>
      </c>
      <c r="B807">
        <v>2</v>
      </c>
      <c r="C807" s="2">
        <v>3170000</v>
      </c>
      <c r="D807" s="2" t="s">
        <v>390</v>
      </c>
      <c r="E807" s="1">
        <v>45411</v>
      </c>
      <c r="F807" s="2">
        <v>3170000</v>
      </c>
    </row>
    <row r="808" spans="1:6" x14ac:dyDescent="0.25">
      <c r="A808" t="s">
        <v>319</v>
      </c>
      <c r="B808">
        <v>3</v>
      </c>
      <c r="C808" s="2">
        <v>3170000</v>
      </c>
      <c r="D808" s="2" t="s">
        <v>390</v>
      </c>
      <c r="E808" s="1">
        <v>45411</v>
      </c>
      <c r="F808" s="2">
        <v>3170000</v>
      </c>
    </row>
    <row r="809" spans="1:6" x14ac:dyDescent="0.25">
      <c r="A809" t="s">
        <v>319</v>
      </c>
      <c r="B809">
        <v>4</v>
      </c>
      <c r="C809" s="2">
        <v>3160000</v>
      </c>
      <c r="D809" s="2" t="s">
        <v>391</v>
      </c>
      <c r="E809" s="1"/>
      <c r="F809" s="2"/>
    </row>
    <row r="810" spans="1:6" x14ac:dyDescent="0.25">
      <c r="A810" t="s">
        <v>320</v>
      </c>
      <c r="B810">
        <v>1</v>
      </c>
      <c r="C810" s="2">
        <v>100000</v>
      </c>
      <c r="D810" s="2" t="s">
        <v>390</v>
      </c>
      <c r="E810" s="1">
        <v>45478</v>
      </c>
      <c r="F810" s="2">
        <v>100000</v>
      </c>
    </row>
    <row r="811" spans="1:6" x14ac:dyDescent="0.25">
      <c r="A811" t="s">
        <v>320</v>
      </c>
      <c r="B811">
        <v>2</v>
      </c>
      <c r="C811" s="2">
        <v>1265911.6000000001</v>
      </c>
      <c r="D811" s="2" t="s">
        <v>390</v>
      </c>
      <c r="E811" s="1">
        <v>45715</v>
      </c>
      <c r="F811" s="2">
        <v>1265911.6000000001</v>
      </c>
    </row>
    <row r="812" spans="1:6" x14ac:dyDescent="0.25">
      <c r="A812" t="s">
        <v>320</v>
      </c>
      <c r="B812">
        <v>3</v>
      </c>
      <c r="C812" s="2">
        <v>2527377.19</v>
      </c>
      <c r="D812" s="2" t="s">
        <v>390</v>
      </c>
      <c r="E812" s="1">
        <v>45820</v>
      </c>
      <c r="F812" s="2">
        <v>1265911.6000000001</v>
      </c>
    </row>
    <row r="813" spans="1:6" x14ac:dyDescent="0.25">
      <c r="A813" t="s">
        <v>320</v>
      </c>
      <c r="B813">
        <v>4</v>
      </c>
      <c r="C813" s="2">
        <v>1830569.84</v>
      </c>
      <c r="D813" s="2" t="s">
        <v>391</v>
      </c>
      <c r="E813" s="1"/>
      <c r="F813" s="2"/>
    </row>
    <row r="814" spans="1:6" x14ac:dyDescent="0.25">
      <c r="A814" t="s">
        <v>322</v>
      </c>
      <c r="B814">
        <v>1</v>
      </c>
      <c r="C814" s="2">
        <v>300000</v>
      </c>
      <c r="D814" s="2" t="s">
        <v>390</v>
      </c>
      <c r="E814" s="1">
        <v>44743</v>
      </c>
      <c r="F814" s="2">
        <v>300000</v>
      </c>
    </row>
    <row r="815" spans="1:6" x14ac:dyDescent="0.25">
      <c r="A815" t="s">
        <v>322</v>
      </c>
      <c r="B815">
        <v>2</v>
      </c>
      <c r="C815" s="2">
        <v>2094463.62</v>
      </c>
      <c r="D815" s="2" t="s">
        <v>390</v>
      </c>
      <c r="E815" s="1">
        <v>45050</v>
      </c>
      <c r="F815" s="2">
        <v>2094463.62</v>
      </c>
    </row>
    <row r="816" spans="1:6" x14ac:dyDescent="0.25">
      <c r="A816" t="s">
        <v>322</v>
      </c>
      <c r="B816">
        <v>3</v>
      </c>
      <c r="C816" s="2">
        <v>1688813.6</v>
      </c>
      <c r="D816" s="2" t="s">
        <v>390</v>
      </c>
      <c r="E816" s="1">
        <v>45397</v>
      </c>
      <c r="F816" s="2">
        <v>1688813.6</v>
      </c>
    </row>
    <row r="817" spans="1:6" x14ac:dyDescent="0.25">
      <c r="A817" t="s">
        <v>322</v>
      </c>
      <c r="B817">
        <v>4</v>
      </c>
      <c r="C817" s="2">
        <v>1571096.6</v>
      </c>
      <c r="D817" s="2" t="s">
        <v>390</v>
      </c>
      <c r="E817" s="1">
        <v>45782</v>
      </c>
      <c r="F817" s="2">
        <v>1571096.6</v>
      </c>
    </row>
    <row r="818" spans="1:6" x14ac:dyDescent="0.25">
      <c r="A818" t="s">
        <v>322</v>
      </c>
      <c r="B818">
        <v>5</v>
      </c>
      <c r="C818" s="2">
        <v>1481124.86</v>
      </c>
      <c r="D818" s="2" t="s">
        <v>391</v>
      </c>
      <c r="E818" s="1"/>
      <c r="F818" s="2"/>
    </row>
    <row r="819" spans="1:6" x14ac:dyDescent="0.25">
      <c r="A819" t="s">
        <v>322</v>
      </c>
      <c r="B819">
        <v>6</v>
      </c>
      <c r="C819" s="2">
        <v>864501.25</v>
      </c>
      <c r="D819" s="2" t="s">
        <v>391</v>
      </c>
      <c r="E819" s="1"/>
      <c r="F819" s="2"/>
    </row>
    <row r="820" spans="1:6" x14ac:dyDescent="0.25">
      <c r="A820" t="s">
        <v>323</v>
      </c>
      <c r="B820">
        <v>1</v>
      </c>
      <c r="C820" s="2">
        <v>200000</v>
      </c>
      <c r="D820" s="2" t="s">
        <v>390</v>
      </c>
      <c r="E820" s="1">
        <v>45161</v>
      </c>
      <c r="F820" s="2">
        <v>200000</v>
      </c>
    </row>
    <row r="821" spans="1:6" x14ac:dyDescent="0.25">
      <c r="A821" t="s">
        <v>323</v>
      </c>
      <c r="B821">
        <v>2</v>
      </c>
      <c r="C821" s="2">
        <v>200000</v>
      </c>
      <c r="D821" s="2" t="s">
        <v>390</v>
      </c>
      <c r="E821" s="1">
        <v>45407</v>
      </c>
      <c r="F821" s="2">
        <v>200000</v>
      </c>
    </row>
    <row r="822" spans="1:6" x14ac:dyDescent="0.25">
      <c r="A822" t="s">
        <v>325</v>
      </c>
      <c r="B822">
        <v>1</v>
      </c>
      <c r="C822" s="2">
        <v>100000</v>
      </c>
      <c r="D822" s="2" t="s">
        <v>390</v>
      </c>
      <c r="E822" s="1">
        <v>45477</v>
      </c>
      <c r="F822" s="2">
        <v>100000</v>
      </c>
    </row>
    <row r="823" spans="1:6" x14ac:dyDescent="0.25">
      <c r="A823" t="s">
        <v>325</v>
      </c>
      <c r="B823">
        <v>2</v>
      </c>
      <c r="C823" s="2">
        <v>486697.89</v>
      </c>
      <c r="D823" s="2" t="s">
        <v>390</v>
      </c>
      <c r="E823" s="1">
        <v>45992</v>
      </c>
      <c r="F823" s="2">
        <v>486697.89</v>
      </c>
    </row>
    <row r="824" spans="1:6" x14ac:dyDescent="0.25">
      <c r="A824" t="s">
        <v>325</v>
      </c>
      <c r="B824">
        <v>3</v>
      </c>
      <c r="C824" s="2">
        <v>486697.88</v>
      </c>
      <c r="D824" s="2" t="s">
        <v>391</v>
      </c>
      <c r="E824" s="1"/>
      <c r="F824" s="2"/>
    </row>
    <row r="825" spans="1:6" x14ac:dyDescent="0.25">
      <c r="A825" t="s">
        <v>326</v>
      </c>
      <c r="B825">
        <v>1</v>
      </c>
      <c r="C825" s="2">
        <v>75000</v>
      </c>
      <c r="D825" s="2" t="s">
        <v>390</v>
      </c>
      <c r="E825" s="1">
        <v>45478</v>
      </c>
      <c r="F825" s="2">
        <v>75000</v>
      </c>
    </row>
    <row r="826" spans="1:6" x14ac:dyDescent="0.25">
      <c r="A826" t="s">
        <v>326</v>
      </c>
      <c r="B826">
        <v>2</v>
      </c>
      <c r="C826" s="2">
        <v>75000</v>
      </c>
      <c r="D826" s="2" t="s">
        <v>390</v>
      </c>
      <c r="E826" s="1">
        <v>45875</v>
      </c>
      <c r="F826" s="2">
        <v>75000</v>
      </c>
    </row>
    <row r="827" spans="1:6" x14ac:dyDescent="0.25">
      <c r="A827" t="s">
        <v>328</v>
      </c>
      <c r="B827">
        <v>1</v>
      </c>
      <c r="C827" s="2">
        <v>510000</v>
      </c>
      <c r="D827" s="2" t="s">
        <v>390</v>
      </c>
      <c r="E827" s="1">
        <v>44742</v>
      </c>
      <c r="F827" s="2">
        <v>510000</v>
      </c>
    </row>
    <row r="828" spans="1:6" x14ac:dyDescent="0.25">
      <c r="A828" t="s">
        <v>328</v>
      </c>
      <c r="B828">
        <v>2</v>
      </c>
      <c r="C828" s="2">
        <v>595000</v>
      </c>
      <c r="D828" s="2" t="s">
        <v>391</v>
      </c>
      <c r="E828" s="1"/>
      <c r="F828" s="2"/>
    </row>
    <row r="829" spans="1:6" x14ac:dyDescent="0.25">
      <c r="A829" t="s">
        <v>328</v>
      </c>
      <c r="B829">
        <v>3</v>
      </c>
      <c r="C829" s="2">
        <v>716812.61</v>
      </c>
      <c r="D829" s="2" t="s">
        <v>390</v>
      </c>
      <c r="E829" s="1">
        <v>45286</v>
      </c>
      <c r="F829" s="2">
        <v>716812.61</v>
      </c>
    </row>
    <row r="830" spans="1:6" x14ac:dyDescent="0.25">
      <c r="A830" t="s">
        <v>329</v>
      </c>
      <c r="B830">
        <v>1</v>
      </c>
      <c r="C830" s="2">
        <v>800232.31</v>
      </c>
      <c r="D830" s="2" t="s">
        <v>390</v>
      </c>
      <c r="E830" s="1">
        <v>44741</v>
      </c>
      <c r="F830" s="2">
        <v>800232.31</v>
      </c>
    </row>
    <row r="831" spans="1:6" x14ac:dyDescent="0.25">
      <c r="A831" t="s">
        <v>329</v>
      </c>
      <c r="B831">
        <v>2</v>
      </c>
      <c r="C831" s="2">
        <v>1066976</v>
      </c>
      <c r="D831" s="2" t="s">
        <v>390</v>
      </c>
      <c r="E831" s="1">
        <v>45008</v>
      </c>
      <c r="F831" s="2">
        <v>1066976</v>
      </c>
    </row>
    <row r="832" spans="1:6" x14ac:dyDescent="0.25">
      <c r="A832" t="s">
        <v>329</v>
      </c>
      <c r="B832">
        <v>3</v>
      </c>
      <c r="C832" s="2">
        <v>800232.3</v>
      </c>
      <c r="D832" s="2" t="s">
        <v>390</v>
      </c>
      <c r="E832" s="1">
        <v>45139</v>
      </c>
      <c r="F832" s="2">
        <v>800232.3</v>
      </c>
    </row>
    <row r="833" spans="1:6" x14ac:dyDescent="0.25">
      <c r="A833" t="s">
        <v>329</v>
      </c>
      <c r="B833">
        <v>4</v>
      </c>
      <c r="C833" s="2">
        <v>800232.31</v>
      </c>
      <c r="D833" s="2" t="s">
        <v>390</v>
      </c>
      <c r="E833" s="1">
        <v>45538</v>
      </c>
      <c r="F833" s="2">
        <v>800232.31</v>
      </c>
    </row>
    <row r="834" spans="1:6" x14ac:dyDescent="0.25">
      <c r="A834" t="s">
        <v>329</v>
      </c>
      <c r="B834">
        <v>5</v>
      </c>
      <c r="C834" s="2">
        <v>1066976</v>
      </c>
      <c r="D834" s="2" t="s">
        <v>390</v>
      </c>
      <c r="E834" s="1">
        <v>45993</v>
      </c>
      <c r="F834" s="2">
        <v>1066976</v>
      </c>
    </row>
    <row r="835" spans="1:6" x14ac:dyDescent="0.25">
      <c r="A835" t="s">
        <v>329</v>
      </c>
      <c r="B835">
        <v>6</v>
      </c>
      <c r="C835" s="2">
        <v>800232.31</v>
      </c>
      <c r="D835" s="2" t="s">
        <v>390</v>
      </c>
      <c r="E835" s="1">
        <v>45538</v>
      </c>
      <c r="F835" s="2">
        <v>800232.31</v>
      </c>
    </row>
    <row r="836" spans="1:6" x14ac:dyDescent="0.25">
      <c r="A836" t="s">
        <v>330</v>
      </c>
      <c r="B836">
        <v>1</v>
      </c>
      <c r="C836" s="2">
        <v>300000</v>
      </c>
      <c r="D836" s="2" t="s">
        <v>390</v>
      </c>
      <c r="E836" s="1">
        <v>45008</v>
      </c>
      <c r="F836" s="2">
        <v>300000</v>
      </c>
    </row>
    <row r="837" spans="1:6" x14ac:dyDescent="0.25">
      <c r="A837" t="s">
        <v>330</v>
      </c>
      <c r="B837">
        <v>2</v>
      </c>
      <c r="C837" s="2">
        <v>846576.2</v>
      </c>
      <c r="D837" s="2" t="s">
        <v>390</v>
      </c>
      <c r="E837" s="1">
        <v>45140</v>
      </c>
      <c r="F837" s="2">
        <v>846576.2</v>
      </c>
    </row>
    <row r="838" spans="1:6" x14ac:dyDescent="0.25">
      <c r="A838" t="s">
        <v>331</v>
      </c>
      <c r="B838">
        <v>1</v>
      </c>
      <c r="C838" s="2">
        <v>258261.04</v>
      </c>
      <c r="D838" s="2" t="s">
        <v>390</v>
      </c>
      <c r="E838" s="1">
        <v>44991</v>
      </c>
      <c r="F838" s="2">
        <v>258261.04</v>
      </c>
    </row>
    <row r="839" spans="1:6" x14ac:dyDescent="0.25">
      <c r="A839" t="s">
        <v>331</v>
      </c>
      <c r="B839">
        <v>2</v>
      </c>
      <c r="C839" s="2">
        <v>258261.04</v>
      </c>
      <c r="D839" s="2" t="s">
        <v>390</v>
      </c>
      <c r="E839" s="1">
        <v>45107</v>
      </c>
      <c r="F839" s="2">
        <v>258261.04</v>
      </c>
    </row>
    <row r="840" spans="1:6" x14ac:dyDescent="0.25">
      <c r="A840" t="s">
        <v>331</v>
      </c>
      <c r="B840">
        <v>3</v>
      </c>
      <c r="C840" s="2">
        <v>258261.04</v>
      </c>
      <c r="D840" s="2" t="s">
        <v>390</v>
      </c>
      <c r="E840" s="1">
        <v>45622</v>
      </c>
      <c r="F840" s="2">
        <v>258261.04</v>
      </c>
    </row>
    <row r="841" spans="1:6" x14ac:dyDescent="0.25">
      <c r="A841" t="s">
        <v>332</v>
      </c>
      <c r="B841">
        <v>1</v>
      </c>
      <c r="C841" s="2">
        <v>1932122.1</v>
      </c>
      <c r="D841" s="2" t="s">
        <v>390</v>
      </c>
      <c r="E841" s="1">
        <v>45344</v>
      </c>
      <c r="F841" s="2">
        <v>1932122.1</v>
      </c>
    </row>
    <row r="842" spans="1:6" x14ac:dyDescent="0.25">
      <c r="A842" t="s">
        <v>332</v>
      </c>
      <c r="B842">
        <v>2</v>
      </c>
      <c r="C842" s="2">
        <v>1932122.1</v>
      </c>
      <c r="D842" s="2" t="s">
        <v>391</v>
      </c>
      <c r="E842" s="1"/>
      <c r="F842" s="2"/>
    </row>
    <row r="843" spans="1:6" x14ac:dyDescent="0.25">
      <c r="A843" t="s">
        <v>332</v>
      </c>
      <c r="B843">
        <v>3</v>
      </c>
      <c r="C843" s="2">
        <v>1932122.1</v>
      </c>
      <c r="D843" s="2" t="s">
        <v>391</v>
      </c>
      <c r="E843" s="1"/>
      <c r="F843" s="2"/>
    </row>
    <row r="844" spans="1:6" x14ac:dyDescent="0.25">
      <c r="A844" t="s">
        <v>332</v>
      </c>
      <c r="B844">
        <v>4</v>
      </c>
      <c r="C844" s="2">
        <v>1932122.1</v>
      </c>
      <c r="D844" s="2" t="s">
        <v>391</v>
      </c>
      <c r="E844" s="1"/>
      <c r="F844" s="2"/>
    </row>
    <row r="845" spans="1:6" x14ac:dyDescent="0.25">
      <c r="A845" t="s">
        <v>332</v>
      </c>
      <c r="B845">
        <v>5</v>
      </c>
      <c r="C845" s="2">
        <v>1932122.1</v>
      </c>
      <c r="D845" s="2" t="s">
        <v>391</v>
      </c>
      <c r="E845" s="1"/>
      <c r="F845" s="2"/>
    </row>
    <row r="846" spans="1:6" x14ac:dyDescent="0.25">
      <c r="A846" t="s">
        <v>332</v>
      </c>
      <c r="B846">
        <v>6</v>
      </c>
      <c r="C846" s="2">
        <v>1932122.1</v>
      </c>
      <c r="D846" s="2" t="s">
        <v>391</v>
      </c>
      <c r="E846" s="1"/>
      <c r="F846" s="2"/>
    </row>
    <row r="847" spans="1:6" x14ac:dyDescent="0.25">
      <c r="A847" t="s">
        <v>411</v>
      </c>
      <c r="B847">
        <v>1</v>
      </c>
      <c r="C847" s="2">
        <v>350000</v>
      </c>
      <c r="D847" s="2" t="s">
        <v>390</v>
      </c>
      <c r="E847" s="1">
        <v>45453</v>
      </c>
      <c r="F847" s="2">
        <v>350000</v>
      </c>
    </row>
    <row r="848" spans="1:6" x14ac:dyDescent="0.25">
      <c r="A848" t="s">
        <v>411</v>
      </c>
      <c r="B848">
        <v>2</v>
      </c>
      <c r="C848" s="2">
        <v>350000</v>
      </c>
      <c r="D848" s="2" t="s">
        <v>390</v>
      </c>
      <c r="E848" s="1">
        <v>45653</v>
      </c>
      <c r="F848" s="2">
        <v>350000</v>
      </c>
    </row>
    <row r="849" spans="1:6" x14ac:dyDescent="0.25">
      <c r="A849" t="s">
        <v>411</v>
      </c>
      <c r="B849">
        <v>3</v>
      </c>
      <c r="C849" s="2">
        <v>300000</v>
      </c>
      <c r="D849" s="2" t="s">
        <v>391</v>
      </c>
      <c r="E849" s="1"/>
      <c r="F849" s="2"/>
    </row>
    <row r="850" spans="1:6" x14ac:dyDescent="0.25">
      <c r="A850" t="s">
        <v>334</v>
      </c>
      <c r="B850">
        <v>1</v>
      </c>
      <c r="C850" s="2">
        <v>75000</v>
      </c>
      <c r="D850" s="2" t="s">
        <v>390</v>
      </c>
      <c r="E850" s="1">
        <v>44984</v>
      </c>
      <c r="F850" s="2">
        <v>75000</v>
      </c>
    </row>
    <row r="851" spans="1:6" x14ac:dyDescent="0.25">
      <c r="A851" t="s">
        <v>334</v>
      </c>
      <c r="B851">
        <v>2</v>
      </c>
      <c r="C851" s="2">
        <v>75000</v>
      </c>
      <c r="D851" s="2" t="s">
        <v>390</v>
      </c>
      <c r="E851" s="1">
        <v>45446</v>
      </c>
      <c r="F851" s="2">
        <v>75000</v>
      </c>
    </row>
    <row r="852" spans="1:6" x14ac:dyDescent="0.25">
      <c r="A852" t="s">
        <v>335</v>
      </c>
      <c r="B852">
        <v>1</v>
      </c>
      <c r="C852" s="2">
        <v>125000</v>
      </c>
      <c r="D852" s="2" t="s">
        <v>390</v>
      </c>
      <c r="E852" s="1">
        <v>44727</v>
      </c>
      <c r="F852" s="2">
        <v>125000</v>
      </c>
    </row>
    <row r="853" spans="1:6" x14ac:dyDescent="0.25">
      <c r="A853" t="s">
        <v>335</v>
      </c>
      <c r="B853">
        <v>2</v>
      </c>
      <c r="C853" s="2">
        <v>125000</v>
      </c>
      <c r="D853" s="2" t="s">
        <v>391</v>
      </c>
      <c r="E853" s="1"/>
      <c r="F853" s="2"/>
    </row>
    <row r="854" spans="1:6" x14ac:dyDescent="0.25">
      <c r="A854" t="s">
        <v>337</v>
      </c>
      <c r="B854">
        <v>1</v>
      </c>
      <c r="C854" s="2">
        <v>16982.48</v>
      </c>
      <c r="D854" s="2" t="s">
        <v>390</v>
      </c>
      <c r="E854" s="1">
        <v>44998</v>
      </c>
      <c r="F854" s="2">
        <v>16982.48</v>
      </c>
    </row>
    <row r="855" spans="1:6" x14ac:dyDescent="0.25">
      <c r="A855" t="s">
        <v>337</v>
      </c>
      <c r="B855">
        <v>2</v>
      </c>
      <c r="C855" s="2">
        <v>50376.72</v>
      </c>
      <c r="D855" s="2" t="s">
        <v>390</v>
      </c>
      <c r="E855" s="1">
        <v>45287</v>
      </c>
      <c r="F855" s="2">
        <v>50376.72</v>
      </c>
    </row>
    <row r="856" spans="1:6" x14ac:dyDescent="0.25">
      <c r="A856" t="s">
        <v>337</v>
      </c>
      <c r="B856">
        <v>3</v>
      </c>
      <c r="C856" s="2">
        <v>124640.8</v>
      </c>
      <c r="D856" s="2" t="s">
        <v>391</v>
      </c>
      <c r="E856" s="1"/>
      <c r="F856" s="2"/>
    </row>
    <row r="857" spans="1:6" x14ac:dyDescent="0.25">
      <c r="A857" t="s">
        <v>339</v>
      </c>
      <c r="B857">
        <v>1</v>
      </c>
      <c r="C857" s="2">
        <v>150000</v>
      </c>
      <c r="D857" s="2" t="s">
        <v>390</v>
      </c>
      <c r="E857" s="1">
        <v>44740</v>
      </c>
      <c r="F857" s="2">
        <v>150000</v>
      </c>
    </row>
    <row r="858" spans="1:6" x14ac:dyDescent="0.25">
      <c r="A858" t="s">
        <v>339</v>
      </c>
      <c r="B858">
        <v>2</v>
      </c>
      <c r="C858" s="2">
        <v>100000</v>
      </c>
      <c r="D858" s="2" t="s">
        <v>390</v>
      </c>
      <c r="E858" s="1">
        <v>45216</v>
      </c>
      <c r="F858" s="2">
        <v>100000</v>
      </c>
    </row>
    <row r="859" spans="1:6" x14ac:dyDescent="0.25">
      <c r="A859" t="s">
        <v>340</v>
      </c>
      <c r="B859">
        <v>1</v>
      </c>
      <c r="C859" s="2">
        <v>150000</v>
      </c>
      <c r="D859" s="2" t="s">
        <v>390</v>
      </c>
      <c r="E859" s="1">
        <v>44740</v>
      </c>
      <c r="F859" s="2">
        <v>150000</v>
      </c>
    </row>
    <row r="860" spans="1:6" x14ac:dyDescent="0.25">
      <c r="A860" t="s">
        <v>340</v>
      </c>
      <c r="B860">
        <v>2</v>
      </c>
      <c r="C860" s="2">
        <v>100000</v>
      </c>
      <c r="D860" s="2" t="s">
        <v>390</v>
      </c>
      <c r="E860" s="1">
        <v>45281</v>
      </c>
      <c r="F860" s="2">
        <v>100000</v>
      </c>
    </row>
    <row r="861" spans="1:6" x14ac:dyDescent="0.25">
      <c r="A861" t="s">
        <v>341</v>
      </c>
      <c r="B861">
        <v>1</v>
      </c>
      <c r="C861" s="2">
        <v>250000</v>
      </c>
      <c r="D861" s="2" t="s">
        <v>390</v>
      </c>
      <c r="E861" s="1">
        <v>45476</v>
      </c>
      <c r="F861" s="2">
        <v>250000</v>
      </c>
    </row>
    <row r="862" spans="1:6" x14ac:dyDescent="0.25">
      <c r="A862" t="s">
        <v>341</v>
      </c>
      <c r="B862">
        <v>2</v>
      </c>
      <c r="C862" s="2">
        <v>250000</v>
      </c>
      <c r="D862" s="2" t="s">
        <v>390</v>
      </c>
      <c r="E862" s="1">
        <v>45875</v>
      </c>
      <c r="F862" s="2">
        <v>250000</v>
      </c>
    </row>
    <row r="863" spans="1:6" x14ac:dyDescent="0.25">
      <c r="A863" t="s">
        <v>343</v>
      </c>
      <c r="B863">
        <v>1</v>
      </c>
      <c r="C863" s="2">
        <v>300000</v>
      </c>
      <c r="D863" s="2" t="s">
        <v>390</v>
      </c>
      <c r="E863" s="1">
        <v>44743</v>
      </c>
      <c r="F863" s="2">
        <v>300000</v>
      </c>
    </row>
    <row r="864" spans="1:6" x14ac:dyDescent="0.25">
      <c r="A864" t="s">
        <v>343</v>
      </c>
      <c r="B864">
        <v>2</v>
      </c>
      <c r="C864" s="2">
        <v>806541.37</v>
      </c>
      <c r="D864" s="2" t="s">
        <v>390</v>
      </c>
      <c r="E864" s="1">
        <v>45007</v>
      </c>
      <c r="F864" s="2">
        <v>806541.37</v>
      </c>
    </row>
    <row r="865" spans="1:6" x14ac:dyDescent="0.25">
      <c r="A865" t="s">
        <v>343</v>
      </c>
      <c r="B865">
        <v>3</v>
      </c>
      <c r="C865" s="2">
        <v>806541.37</v>
      </c>
      <c r="D865" s="2" t="s">
        <v>390</v>
      </c>
      <c r="E865" s="1">
        <v>45453</v>
      </c>
      <c r="F865" s="2">
        <v>806541.37</v>
      </c>
    </row>
    <row r="866" spans="1:6" x14ac:dyDescent="0.25">
      <c r="A866" t="s">
        <v>344</v>
      </c>
      <c r="B866">
        <v>1</v>
      </c>
      <c r="C866" s="2">
        <v>1020000</v>
      </c>
      <c r="D866" s="2" t="s">
        <v>390</v>
      </c>
      <c r="E866" s="1">
        <v>44705</v>
      </c>
      <c r="F866" s="2">
        <v>1020000</v>
      </c>
    </row>
    <row r="867" spans="1:6" x14ac:dyDescent="0.25">
      <c r="A867" t="s">
        <v>344</v>
      </c>
      <c r="B867">
        <v>2</v>
      </c>
      <c r="C867" s="2">
        <v>587000</v>
      </c>
      <c r="D867" s="2" t="s">
        <v>390</v>
      </c>
      <c r="E867" s="1">
        <v>44959</v>
      </c>
      <c r="F867" s="2">
        <v>587000</v>
      </c>
    </row>
    <row r="868" spans="1:6" x14ac:dyDescent="0.25">
      <c r="A868" t="s">
        <v>344</v>
      </c>
      <c r="B868">
        <v>3</v>
      </c>
      <c r="C868" s="2">
        <v>393000</v>
      </c>
      <c r="D868" s="2" t="s">
        <v>390</v>
      </c>
      <c r="E868" s="1">
        <v>45107</v>
      </c>
      <c r="F868" s="2">
        <v>393000</v>
      </c>
    </row>
    <row r="869" spans="1:6" x14ac:dyDescent="0.25">
      <c r="A869" t="s">
        <v>345</v>
      </c>
      <c r="B869">
        <v>1</v>
      </c>
      <c r="C869" s="2">
        <v>1600000</v>
      </c>
      <c r="D869" s="2" t="s">
        <v>390</v>
      </c>
      <c r="E869" s="1">
        <v>44734</v>
      </c>
      <c r="F869" s="2">
        <v>1600000</v>
      </c>
    </row>
    <row r="870" spans="1:6" x14ac:dyDescent="0.25">
      <c r="A870" t="s">
        <v>345</v>
      </c>
      <c r="B870">
        <v>2</v>
      </c>
      <c r="C870" s="2">
        <v>1700000</v>
      </c>
      <c r="D870" s="2" t="s">
        <v>390</v>
      </c>
      <c r="E870" s="1">
        <v>45001</v>
      </c>
      <c r="F870" s="2">
        <v>1700000</v>
      </c>
    </row>
    <row r="871" spans="1:6" x14ac:dyDescent="0.25">
      <c r="A871" t="s">
        <v>345</v>
      </c>
      <c r="B871">
        <v>3</v>
      </c>
      <c r="C871" s="2">
        <v>1700000</v>
      </c>
      <c r="D871" s="2" t="s">
        <v>390</v>
      </c>
      <c r="E871" s="1">
        <v>45279</v>
      </c>
      <c r="F871" s="2">
        <v>1700000</v>
      </c>
    </row>
    <row r="872" spans="1:6" x14ac:dyDescent="0.25">
      <c r="A872" t="s">
        <v>346</v>
      </c>
      <c r="B872">
        <v>1</v>
      </c>
      <c r="C872" s="2">
        <v>425000.5</v>
      </c>
      <c r="D872" s="2" t="s">
        <v>390</v>
      </c>
      <c r="E872" s="1">
        <v>44740</v>
      </c>
      <c r="F872" s="2">
        <v>425000.5</v>
      </c>
    </row>
    <row r="873" spans="1:6" x14ac:dyDescent="0.25">
      <c r="A873" t="s">
        <v>346</v>
      </c>
      <c r="B873">
        <v>2</v>
      </c>
      <c r="C873" s="2">
        <v>1776086.05</v>
      </c>
      <c r="D873" s="2" t="s">
        <v>390</v>
      </c>
      <c r="E873" s="1">
        <v>45275</v>
      </c>
      <c r="F873" s="2">
        <v>1776086.05</v>
      </c>
    </row>
    <row r="874" spans="1:6" x14ac:dyDescent="0.25">
      <c r="A874" t="s">
        <v>346</v>
      </c>
      <c r="B874">
        <v>3</v>
      </c>
      <c r="C874" s="2">
        <v>1749883.96</v>
      </c>
      <c r="D874" s="2" t="s">
        <v>390</v>
      </c>
      <c r="E874" s="1">
        <v>45847</v>
      </c>
      <c r="F874" s="2">
        <v>1749883.96</v>
      </c>
    </row>
    <row r="875" spans="1:6" x14ac:dyDescent="0.25">
      <c r="A875" t="s">
        <v>346</v>
      </c>
      <c r="B875">
        <v>4</v>
      </c>
      <c r="C875" s="2">
        <v>1890344.3</v>
      </c>
      <c r="D875" s="2" t="s">
        <v>391</v>
      </c>
      <c r="E875" s="1"/>
      <c r="F875" s="2"/>
    </row>
    <row r="876" spans="1:6" x14ac:dyDescent="0.25">
      <c r="A876" t="s">
        <v>347</v>
      </c>
      <c r="B876">
        <v>1</v>
      </c>
      <c r="C876" s="2">
        <v>150000</v>
      </c>
      <c r="D876" s="2" t="s">
        <v>390</v>
      </c>
      <c r="E876" s="1">
        <v>45446</v>
      </c>
      <c r="F876" s="2">
        <v>150000</v>
      </c>
    </row>
    <row r="877" spans="1:6" x14ac:dyDescent="0.25">
      <c r="A877" t="s">
        <v>347</v>
      </c>
      <c r="B877">
        <v>2</v>
      </c>
      <c r="C877" s="2">
        <v>150000</v>
      </c>
      <c r="D877" s="2" t="s">
        <v>390</v>
      </c>
      <c r="E877" s="1">
        <v>45446</v>
      </c>
      <c r="F877" s="2">
        <v>150000</v>
      </c>
    </row>
    <row r="878" spans="1:6" x14ac:dyDescent="0.25">
      <c r="A878" t="s">
        <v>348</v>
      </c>
      <c r="B878">
        <v>1</v>
      </c>
      <c r="C878" s="2">
        <v>1693537.79</v>
      </c>
      <c r="D878" s="2" t="s">
        <v>390</v>
      </c>
      <c r="E878" s="1">
        <v>45288</v>
      </c>
      <c r="F878" s="2">
        <v>1693537.79</v>
      </c>
    </row>
    <row r="879" spans="1:6" x14ac:dyDescent="0.25">
      <c r="A879" t="s">
        <v>348</v>
      </c>
      <c r="B879">
        <v>2</v>
      </c>
      <c r="C879" s="2">
        <v>2207927.5699999998</v>
      </c>
      <c r="D879" s="2" t="s">
        <v>390</v>
      </c>
      <c r="E879" s="1">
        <v>45894</v>
      </c>
      <c r="F879" s="2">
        <v>2207927.5699999998</v>
      </c>
    </row>
    <row r="880" spans="1:6" x14ac:dyDescent="0.25">
      <c r="A880" t="s">
        <v>348</v>
      </c>
      <c r="B880">
        <v>3</v>
      </c>
      <c r="C880" s="2">
        <v>2094079.64</v>
      </c>
      <c r="D880" s="2" t="s">
        <v>391</v>
      </c>
      <c r="E880" s="1"/>
      <c r="F880" s="2"/>
    </row>
    <row r="881" spans="1:6" x14ac:dyDescent="0.25">
      <c r="A881" t="s">
        <v>350</v>
      </c>
      <c r="B881">
        <v>1</v>
      </c>
      <c r="C881" s="2">
        <v>376416.15</v>
      </c>
      <c r="D881" s="2" t="s">
        <v>390</v>
      </c>
      <c r="E881" s="1">
        <v>44722</v>
      </c>
      <c r="F881" s="2">
        <v>376416.15</v>
      </c>
    </row>
    <row r="882" spans="1:6" x14ac:dyDescent="0.25">
      <c r="A882" t="s">
        <v>350</v>
      </c>
      <c r="B882">
        <v>2</v>
      </c>
      <c r="C882" s="2">
        <v>1317456.54</v>
      </c>
      <c r="D882" s="2" t="s">
        <v>390</v>
      </c>
      <c r="E882" s="1">
        <v>45044</v>
      </c>
      <c r="F882" s="2">
        <v>1317456.54</v>
      </c>
    </row>
    <row r="883" spans="1:6" x14ac:dyDescent="0.25">
      <c r="A883" t="s">
        <v>350</v>
      </c>
      <c r="B883">
        <v>3</v>
      </c>
      <c r="C883" s="2">
        <v>658728.27</v>
      </c>
      <c r="D883" s="2" t="s">
        <v>390</v>
      </c>
      <c r="E883" s="1">
        <v>45279</v>
      </c>
      <c r="F883" s="2">
        <v>658728.27</v>
      </c>
    </row>
    <row r="884" spans="1:6" x14ac:dyDescent="0.25">
      <c r="A884" t="s">
        <v>352</v>
      </c>
      <c r="B884">
        <v>1</v>
      </c>
      <c r="C884" s="2">
        <v>166865.25</v>
      </c>
      <c r="D884" s="2" t="s">
        <v>390</v>
      </c>
      <c r="E884" s="1">
        <v>44734</v>
      </c>
      <c r="F884" s="2">
        <v>166865.25</v>
      </c>
    </row>
    <row r="885" spans="1:6" x14ac:dyDescent="0.25">
      <c r="A885" t="s">
        <v>352</v>
      </c>
      <c r="B885">
        <v>2</v>
      </c>
      <c r="C885" s="2">
        <v>166865.25</v>
      </c>
      <c r="D885" s="2" t="s">
        <v>390</v>
      </c>
      <c r="E885" s="1">
        <v>45197</v>
      </c>
      <c r="F885" s="2">
        <v>166865.25</v>
      </c>
    </row>
    <row r="886" spans="1:6" x14ac:dyDescent="0.25">
      <c r="A886" t="s">
        <v>353</v>
      </c>
      <c r="B886">
        <v>1</v>
      </c>
      <c r="C886" s="2">
        <v>274972.67</v>
      </c>
      <c r="D886" s="2" t="s">
        <v>390</v>
      </c>
      <c r="E886" s="1">
        <v>45021</v>
      </c>
      <c r="F886" s="2">
        <v>274972.67</v>
      </c>
    </row>
    <row r="887" spans="1:6" x14ac:dyDescent="0.25">
      <c r="A887" t="s">
        <v>353</v>
      </c>
      <c r="B887">
        <v>2</v>
      </c>
      <c r="C887" s="2">
        <v>1374863.37</v>
      </c>
      <c r="D887" s="2" t="s">
        <v>390</v>
      </c>
      <c r="E887" s="1">
        <v>45271</v>
      </c>
      <c r="F887" s="2">
        <v>1374863.37</v>
      </c>
    </row>
    <row r="888" spans="1:6" x14ac:dyDescent="0.25">
      <c r="A888" t="s">
        <v>353</v>
      </c>
      <c r="B888">
        <v>3</v>
      </c>
      <c r="C888" s="2">
        <v>1099890.69</v>
      </c>
      <c r="D888" s="2" t="s">
        <v>390</v>
      </c>
      <c r="E888" s="1">
        <v>45798</v>
      </c>
      <c r="F888" s="2">
        <v>1099890.69</v>
      </c>
    </row>
    <row r="889" spans="1:6" x14ac:dyDescent="0.25">
      <c r="A889" t="s">
        <v>355</v>
      </c>
      <c r="B889">
        <v>1</v>
      </c>
      <c r="C889" s="2">
        <v>263949.25</v>
      </c>
      <c r="D889" s="2" t="s">
        <v>390</v>
      </c>
      <c r="E889" s="1">
        <v>44734</v>
      </c>
      <c r="F889" s="2">
        <v>263949.25</v>
      </c>
    </row>
    <row r="890" spans="1:6" x14ac:dyDescent="0.25">
      <c r="A890" t="s">
        <v>355</v>
      </c>
      <c r="B890">
        <v>2</v>
      </c>
      <c r="C890" s="2">
        <v>263949.25</v>
      </c>
      <c r="D890" s="2" t="s">
        <v>390</v>
      </c>
      <c r="E890" s="1">
        <v>45198</v>
      </c>
      <c r="F890" s="2">
        <v>263949.25</v>
      </c>
    </row>
    <row r="891" spans="1:6" x14ac:dyDescent="0.25">
      <c r="A891" t="s">
        <v>357</v>
      </c>
      <c r="B891">
        <v>1</v>
      </c>
      <c r="C891" s="2">
        <v>112000</v>
      </c>
      <c r="D891" s="2" t="s">
        <v>390</v>
      </c>
      <c r="E891" s="1">
        <v>44713</v>
      </c>
      <c r="F891" s="2">
        <v>112000</v>
      </c>
    </row>
    <row r="892" spans="1:6" x14ac:dyDescent="0.25">
      <c r="A892" t="s">
        <v>357</v>
      </c>
      <c r="B892">
        <v>2</v>
      </c>
      <c r="C892" s="2">
        <v>88000</v>
      </c>
      <c r="D892" s="2" t="s">
        <v>390</v>
      </c>
      <c r="E892" s="1">
        <v>45198</v>
      </c>
      <c r="F892" s="2">
        <v>88000</v>
      </c>
    </row>
    <row r="893" spans="1:6" x14ac:dyDescent="0.25">
      <c r="A893" t="s">
        <v>358</v>
      </c>
      <c r="B893">
        <v>1</v>
      </c>
      <c r="C893" s="2">
        <v>200000</v>
      </c>
      <c r="D893" s="2" t="s">
        <v>390</v>
      </c>
      <c r="E893" s="1">
        <v>44743</v>
      </c>
      <c r="F893" s="2">
        <v>200000</v>
      </c>
    </row>
    <row r="894" spans="1:6" x14ac:dyDescent="0.25">
      <c r="A894" t="s">
        <v>358</v>
      </c>
      <c r="B894">
        <v>2</v>
      </c>
      <c r="C894" s="2">
        <v>200000</v>
      </c>
      <c r="D894" s="2" t="s">
        <v>391</v>
      </c>
      <c r="E894" s="1"/>
      <c r="F894" s="2"/>
    </row>
    <row r="895" spans="1:6" x14ac:dyDescent="0.25">
      <c r="A895" t="s">
        <v>359</v>
      </c>
      <c r="B895">
        <v>1</v>
      </c>
      <c r="C895" s="2">
        <v>171450</v>
      </c>
      <c r="D895" s="2" t="s">
        <v>390</v>
      </c>
      <c r="E895" s="1">
        <v>45029</v>
      </c>
      <c r="F895" s="2">
        <v>171450</v>
      </c>
    </row>
    <row r="896" spans="1:6" x14ac:dyDescent="0.25">
      <c r="A896" t="s">
        <v>359</v>
      </c>
      <c r="B896">
        <v>2</v>
      </c>
      <c r="C896" s="2">
        <v>128550</v>
      </c>
      <c r="D896" s="2" t="s">
        <v>390</v>
      </c>
      <c r="E896" s="1">
        <v>45653</v>
      </c>
      <c r="F896" s="2">
        <v>128550</v>
      </c>
    </row>
    <row r="897" spans="1:6" x14ac:dyDescent="0.25">
      <c r="A897" t="s">
        <v>360</v>
      </c>
      <c r="B897">
        <v>1</v>
      </c>
      <c r="C897" s="2">
        <v>100000</v>
      </c>
      <c r="D897" s="2" t="s">
        <v>390</v>
      </c>
      <c r="E897" s="1">
        <v>45478</v>
      </c>
      <c r="F897" s="2">
        <v>100000</v>
      </c>
    </row>
    <row r="898" spans="1:6" x14ac:dyDescent="0.25">
      <c r="A898" t="s">
        <v>360</v>
      </c>
      <c r="B898">
        <v>2</v>
      </c>
      <c r="C898" s="2">
        <v>500000</v>
      </c>
      <c r="D898" s="2" t="s">
        <v>391</v>
      </c>
      <c r="E898" s="1"/>
      <c r="F898" s="2"/>
    </row>
    <row r="899" spans="1:6" x14ac:dyDescent="0.25">
      <c r="A899" t="s">
        <v>362</v>
      </c>
      <c r="B899">
        <v>1</v>
      </c>
      <c r="C899" s="2">
        <v>200000</v>
      </c>
      <c r="D899" s="2" t="s">
        <v>390</v>
      </c>
      <c r="E899" s="1">
        <v>44743</v>
      </c>
      <c r="F899" s="2">
        <v>200000</v>
      </c>
    </row>
    <row r="900" spans="1:6" x14ac:dyDescent="0.25">
      <c r="A900" t="s">
        <v>362</v>
      </c>
      <c r="B900">
        <v>2</v>
      </c>
      <c r="C900" s="2">
        <v>433333.33</v>
      </c>
      <c r="D900" s="2" t="s">
        <v>390</v>
      </c>
      <c r="E900" s="1">
        <v>45007</v>
      </c>
      <c r="F900" s="2">
        <v>433333.33</v>
      </c>
    </row>
    <row r="901" spans="1:6" x14ac:dyDescent="0.25">
      <c r="A901" t="s">
        <v>362</v>
      </c>
      <c r="B901">
        <v>3</v>
      </c>
      <c r="C901" s="2">
        <v>433333.33</v>
      </c>
      <c r="D901" s="2" t="s">
        <v>390</v>
      </c>
      <c r="E901" s="1">
        <v>45275</v>
      </c>
      <c r="F901" s="2">
        <v>433333.33</v>
      </c>
    </row>
    <row r="902" spans="1:6" x14ac:dyDescent="0.25">
      <c r="A902" t="s">
        <v>362</v>
      </c>
      <c r="B902">
        <v>4</v>
      </c>
      <c r="C902" s="2">
        <v>433333.34</v>
      </c>
      <c r="D902" s="2" t="s">
        <v>390</v>
      </c>
      <c r="E902" s="1">
        <v>45646</v>
      </c>
      <c r="F902" s="2">
        <v>433333.34</v>
      </c>
    </row>
    <row r="903" spans="1:6" x14ac:dyDescent="0.25">
      <c r="A903" t="s">
        <v>363</v>
      </c>
      <c r="B903">
        <v>1</v>
      </c>
      <c r="C903" s="2">
        <v>300000</v>
      </c>
      <c r="D903" s="2" t="s">
        <v>390</v>
      </c>
      <c r="E903" s="1">
        <v>44992</v>
      </c>
      <c r="F903" s="2">
        <v>300000</v>
      </c>
    </row>
    <row r="904" spans="1:6" x14ac:dyDescent="0.25">
      <c r="A904" t="s">
        <v>363</v>
      </c>
      <c r="B904">
        <v>2</v>
      </c>
      <c r="C904" s="2">
        <v>1420777.19</v>
      </c>
      <c r="D904" s="2" t="s">
        <v>390</v>
      </c>
      <c r="E904" s="1">
        <v>45280</v>
      </c>
      <c r="F904" s="2">
        <v>1420777.19</v>
      </c>
    </row>
    <row r="905" spans="1:6" x14ac:dyDescent="0.25">
      <c r="A905" t="s">
        <v>363</v>
      </c>
      <c r="B905">
        <v>3</v>
      </c>
      <c r="C905" s="2">
        <v>1420777.18</v>
      </c>
      <c r="D905" s="2" t="s">
        <v>390</v>
      </c>
      <c r="E905" s="1">
        <v>45714</v>
      </c>
      <c r="F905" s="2">
        <v>1420777.18</v>
      </c>
    </row>
    <row r="906" spans="1:6" x14ac:dyDescent="0.25">
      <c r="A906" t="s">
        <v>365</v>
      </c>
      <c r="B906">
        <v>1</v>
      </c>
      <c r="C906" s="2">
        <v>6250000</v>
      </c>
      <c r="D906" s="2" t="s">
        <v>390</v>
      </c>
      <c r="E906" s="1">
        <v>44491</v>
      </c>
      <c r="F906" s="2">
        <v>6250000</v>
      </c>
    </row>
    <row r="907" spans="1:6" x14ac:dyDescent="0.25">
      <c r="A907" t="s">
        <v>365</v>
      </c>
      <c r="B907">
        <v>2</v>
      </c>
      <c r="C907" s="2">
        <v>5472182.4400000004</v>
      </c>
      <c r="D907" s="2" t="s">
        <v>390</v>
      </c>
      <c r="E907" s="1">
        <v>44607</v>
      </c>
      <c r="F907" s="2">
        <v>5472182.4400000004</v>
      </c>
    </row>
    <row r="908" spans="1:6" x14ac:dyDescent="0.25">
      <c r="A908" t="s">
        <v>365</v>
      </c>
      <c r="B908">
        <v>3</v>
      </c>
      <c r="C908" s="2">
        <v>5472182.4400000004</v>
      </c>
      <c r="D908" s="2" t="s">
        <v>391</v>
      </c>
      <c r="E908" s="1"/>
      <c r="F908" s="2"/>
    </row>
    <row r="909" spans="1:6" x14ac:dyDescent="0.25">
      <c r="A909" t="s">
        <v>365</v>
      </c>
      <c r="B909">
        <v>4</v>
      </c>
      <c r="C909" s="2">
        <v>5472182.4400000004</v>
      </c>
      <c r="D909" s="2" t="s">
        <v>390</v>
      </c>
      <c r="E909" s="1">
        <v>45041</v>
      </c>
      <c r="F909" s="2">
        <v>5472182.4400000004</v>
      </c>
    </row>
    <row r="910" spans="1:6" x14ac:dyDescent="0.25">
      <c r="A910" t="s">
        <v>366</v>
      </c>
      <c r="B910">
        <v>1</v>
      </c>
      <c r="C910" s="2">
        <v>4432016.3499999996</v>
      </c>
      <c r="D910" s="2" t="s">
        <v>390</v>
      </c>
      <c r="E910" s="1">
        <v>44742</v>
      </c>
      <c r="F910" s="2">
        <v>4432016.3499999996</v>
      </c>
    </row>
    <row r="911" spans="1:6" x14ac:dyDescent="0.25">
      <c r="A911" t="s">
        <v>366</v>
      </c>
      <c r="B911">
        <v>2</v>
      </c>
      <c r="C911" s="2">
        <v>4432016.3499999996</v>
      </c>
      <c r="D911" s="2" t="s">
        <v>390</v>
      </c>
      <c r="E911" s="1">
        <v>45041</v>
      </c>
      <c r="F911" s="2">
        <v>4432016.3499999996</v>
      </c>
    </row>
    <row r="912" spans="1:6" x14ac:dyDescent="0.25">
      <c r="A912" t="s">
        <v>366</v>
      </c>
      <c r="B912">
        <v>3</v>
      </c>
      <c r="C912" s="2">
        <v>4432016.3499999996</v>
      </c>
      <c r="D912" s="2" t="s">
        <v>390</v>
      </c>
      <c r="E912" s="1">
        <v>45267</v>
      </c>
      <c r="F912" s="2">
        <v>4432016.3499999996</v>
      </c>
    </row>
    <row r="913" spans="1:6" x14ac:dyDescent="0.25">
      <c r="A913" t="s">
        <v>366</v>
      </c>
      <c r="B913">
        <v>4</v>
      </c>
      <c r="C913" s="2">
        <v>4432016.3499999996</v>
      </c>
      <c r="D913" s="2" t="s">
        <v>390</v>
      </c>
      <c r="E913" s="1">
        <v>45938</v>
      </c>
      <c r="F913" s="2">
        <v>4432016.3499999996</v>
      </c>
    </row>
    <row r="914" spans="1:6" x14ac:dyDescent="0.25">
      <c r="A914" t="s">
        <v>367</v>
      </c>
      <c r="B914">
        <v>1</v>
      </c>
      <c r="C914" s="2">
        <v>100000</v>
      </c>
      <c r="D914" s="2" t="s">
        <v>390</v>
      </c>
      <c r="E914" s="1">
        <v>45478</v>
      </c>
      <c r="F914" s="2">
        <v>100000</v>
      </c>
    </row>
    <row r="915" spans="1:6" x14ac:dyDescent="0.25">
      <c r="A915" t="s">
        <v>367</v>
      </c>
      <c r="B915">
        <v>2</v>
      </c>
      <c r="C915" s="2">
        <v>300000</v>
      </c>
      <c r="D915" s="2" t="s">
        <v>391</v>
      </c>
      <c r="E915" s="1"/>
      <c r="F915" s="2"/>
    </row>
    <row r="916" spans="1:6" x14ac:dyDescent="0.25">
      <c r="A916" t="s">
        <v>367</v>
      </c>
      <c r="B916">
        <v>3</v>
      </c>
      <c r="C916" s="2">
        <v>300000</v>
      </c>
      <c r="D916" s="2" t="s">
        <v>391</v>
      </c>
      <c r="E916" s="1"/>
      <c r="F916" s="2"/>
    </row>
    <row r="917" spans="1:6" x14ac:dyDescent="0.25">
      <c r="A917" t="s">
        <v>367</v>
      </c>
      <c r="B917">
        <v>4</v>
      </c>
      <c r="C917" s="2">
        <v>300000</v>
      </c>
      <c r="D917" s="2" t="s">
        <v>391</v>
      </c>
      <c r="E917" s="1"/>
      <c r="F917" s="2"/>
    </row>
    <row r="918" spans="1:6" x14ac:dyDescent="0.25">
      <c r="A918" t="s">
        <v>368</v>
      </c>
      <c r="B918">
        <v>1</v>
      </c>
      <c r="C918" s="2">
        <v>100000</v>
      </c>
      <c r="D918" s="2" t="s">
        <v>390</v>
      </c>
      <c r="E918" s="1">
        <v>45478</v>
      </c>
      <c r="F918" s="2">
        <v>100000</v>
      </c>
    </row>
    <row r="919" spans="1:6" x14ac:dyDescent="0.25">
      <c r="A919" t="s">
        <v>368</v>
      </c>
      <c r="B919">
        <v>2</v>
      </c>
      <c r="C919" s="2">
        <v>1804698.37</v>
      </c>
      <c r="D919" s="2" t="s">
        <v>391</v>
      </c>
      <c r="E919" s="1"/>
      <c r="F919" s="2"/>
    </row>
    <row r="920" spans="1:6" x14ac:dyDescent="0.25">
      <c r="A920" t="s">
        <v>370</v>
      </c>
      <c r="B920">
        <v>1</v>
      </c>
      <c r="C920" s="2">
        <v>269096.7</v>
      </c>
      <c r="D920" s="2" t="s">
        <v>390</v>
      </c>
      <c r="E920" s="1">
        <v>44614</v>
      </c>
      <c r="F920" s="2">
        <v>269096.7</v>
      </c>
    </row>
    <row r="921" spans="1:6" x14ac:dyDescent="0.25">
      <c r="A921" t="s">
        <v>370</v>
      </c>
      <c r="B921">
        <v>2</v>
      </c>
      <c r="C921" s="2">
        <v>269096.7</v>
      </c>
      <c r="D921" s="2" t="s">
        <v>390</v>
      </c>
      <c r="E921" s="1">
        <v>44614</v>
      </c>
      <c r="F921" s="2">
        <v>269096.7</v>
      </c>
    </row>
    <row r="922" spans="1:6" x14ac:dyDescent="0.25">
      <c r="A922" t="s">
        <v>370</v>
      </c>
      <c r="B922">
        <v>3</v>
      </c>
      <c r="C922" s="2">
        <v>269096.7</v>
      </c>
      <c r="D922" s="2" t="s">
        <v>390</v>
      </c>
      <c r="E922" s="1">
        <v>45062</v>
      </c>
      <c r="F922" s="2">
        <v>269096.7</v>
      </c>
    </row>
    <row r="923" spans="1:6" x14ac:dyDescent="0.25">
      <c r="A923" t="s">
        <v>370</v>
      </c>
      <c r="B923">
        <v>4</v>
      </c>
      <c r="C923" s="2">
        <v>269096.71999999997</v>
      </c>
      <c r="D923" s="2" t="s">
        <v>390</v>
      </c>
      <c r="E923" s="1">
        <v>45226</v>
      </c>
      <c r="F923" s="2">
        <v>269096.71999999997</v>
      </c>
    </row>
    <row r="924" spans="1:6" x14ac:dyDescent="0.25">
      <c r="A924" t="s">
        <v>371</v>
      </c>
      <c r="B924">
        <v>1</v>
      </c>
      <c r="C924" s="2">
        <v>921385.6</v>
      </c>
      <c r="D924" s="2" t="s">
        <v>390</v>
      </c>
      <c r="E924" s="1">
        <v>44722</v>
      </c>
      <c r="F924" s="2">
        <v>921385.6</v>
      </c>
    </row>
    <row r="925" spans="1:6" x14ac:dyDescent="0.25">
      <c r="A925" t="s">
        <v>371</v>
      </c>
      <c r="B925">
        <v>2</v>
      </c>
      <c r="C925" s="2">
        <v>825539.1</v>
      </c>
      <c r="D925" s="2" t="s">
        <v>390</v>
      </c>
      <c r="E925" s="1">
        <v>45140</v>
      </c>
      <c r="F925" s="2">
        <v>825539.1</v>
      </c>
    </row>
    <row r="926" spans="1:6" x14ac:dyDescent="0.25">
      <c r="A926" t="s">
        <v>371</v>
      </c>
      <c r="B926">
        <v>3</v>
      </c>
      <c r="C926" s="2">
        <v>835898.64</v>
      </c>
      <c r="D926" s="2" t="s">
        <v>390</v>
      </c>
      <c r="E926" s="1">
        <v>45287</v>
      </c>
      <c r="F926" s="2">
        <v>835898.64</v>
      </c>
    </row>
    <row r="927" spans="1:6" x14ac:dyDescent="0.25">
      <c r="A927" t="s">
        <v>371</v>
      </c>
      <c r="B927">
        <v>4</v>
      </c>
      <c r="C927" s="2">
        <v>825886.71999999997</v>
      </c>
      <c r="D927" s="2" t="s">
        <v>390</v>
      </c>
      <c r="E927" s="1">
        <v>45842</v>
      </c>
      <c r="F927" s="2">
        <v>825886.71999999997</v>
      </c>
    </row>
    <row r="928" spans="1:6" x14ac:dyDescent="0.25">
      <c r="A928" t="s">
        <v>371</v>
      </c>
      <c r="B928">
        <v>5</v>
      </c>
      <c r="C928" s="2">
        <v>314289.87</v>
      </c>
      <c r="D928" s="2" t="s">
        <v>391</v>
      </c>
      <c r="E928" s="1"/>
      <c r="F928" s="2"/>
    </row>
    <row r="929" spans="1:6" x14ac:dyDescent="0.25">
      <c r="A929" t="s">
        <v>372</v>
      </c>
      <c r="B929">
        <v>1</v>
      </c>
      <c r="C929" s="2">
        <v>200000</v>
      </c>
      <c r="D929" s="2" t="s">
        <v>390</v>
      </c>
      <c r="E929" s="1">
        <v>44719</v>
      </c>
      <c r="F929" s="2">
        <v>200000</v>
      </c>
    </row>
    <row r="930" spans="1:6" x14ac:dyDescent="0.25">
      <c r="A930" t="s">
        <v>372</v>
      </c>
      <c r="B930">
        <v>2</v>
      </c>
      <c r="C930" s="2">
        <v>200000</v>
      </c>
      <c r="D930" s="2" t="s">
        <v>390</v>
      </c>
      <c r="E930" s="1">
        <v>45105</v>
      </c>
      <c r="F930" s="2">
        <v>200000</v>
      </c>
    </row>
    <row r="931" spans="1:6" x14ac:dyDescent="0.25">
      <c r="A931" t="s">
        <v>372</v>
      </c>
      <c r="B931">
        <v>3</v>
      </c>
      <c r="C931" s="2">
        <v>200000</v>
      </c>
      <c r="D931" s="2" t="s">
        <v>390</v>
      </c>
      <c r="E931" s="1">
        <v>45287</v>
      </c>
      <c r="F931" s="2">
        <v>200000</v>
      </c>
    </row>
    <row r="932" spans="1:6" x14ac:dyDescent="0.25">
      <c r="A932" t="s">
        <v>372</v>
      </c>
      <c r="B932">
        <v>4</v>
      </c>
      <c r="C932" s="2">
        <v>200000</v>
      </c>
      <c r="D932" s="2" t="s">
        <v>390</v>
      </c>
      <c r="E932" s="1">
        <v>45714</v>
      </c>
      <c r="F932" s="2">
        <v>200000</v>
      </c>
    </row>
    <row r="933" spans="1:6" x14ac:dyDescent="0.25">
      <c r="A933" t="s">
        <v>372</v>
      </c>
      <c r="B933">
        <v>5</v>
      </c>
      <c r="C933" s="2">
        <v>200000</v>
      </c>
      <c r="D933" s="2" t="s">
        <v>390</v>
      </c>
      <c r="E933" s="1">
        <v>45953</v>
      </c>
      <c r="F933" s="2">
        <v>200000</v>
      </c>
    </row>
    <row r="934" spans="1:6" x14ac:dyDescent="0.25">
      <c r="A934" t="s">
        <v>373</v>
      </c>
      <c r="B934">
        <v>1</v>
      </c>
      <c r="C934" s="2">
        <v>502826.7</v>
      </c>
      <c r="D934" s="2" t="s">
        <v>390</v>
      </c>
      <c r="E934" s="1">
        <v>44719</v>
      </c>
      <c r="F934" s="2">
        <v>502826.7</v>
      </c>
    </row>
    <row r="935" spans="1:6" x14ac:dyDescent="0.25">
      <c r="A935" t="s">
        <v>373</v>
      </c>
      <c r="B935">
        <v>2</v>
      </c>
      <c r="C935" s="2">
        <v>915569.4</v>
      </c>
      <c r="D935" s="2" t="s">
        <v>390</v>
      </c>
      <c r="E935" s="1">
        <v>45161</v>
      </c>
      <c r="F935" s="2">
        <v>915569.4</v>
      </c>
    </row>
    <row r="936" spans="1:6" x14ac:dyDescent="0.25">
      <c r="A936" t="s">
        <v>373</v>
      </c>
      <c r="B936">
        <v>3</v>
      </c>
      <c r="C936" s="2">
        <v>730986.8</v>
      </c>
      <c r="D936" s="2" t="s">
        <v>390</v>
      </c>
      <c r="E936" s="1">
        <v>45411</v>
      </c>
      <c r="F936" s="2">
        <v>730986.8</v>
      </c>
    </row>
    <row r="937" spans="1:6" x14ac:dyDescent="0.25">
      <c r="A937" t="s">
        <v>373</v>
      </c>
      <c r="B937">
        <v>4</v>
      </c>
      <c r="C937" s="2">
        <v>675002.6</v>
      </c>
      <c r="D937" s="2" t="s">
        <v>390</v>
      </c>
      <c r="E937" s="1">
        <v>45716</v>
      </c>
      <c r="F937" s="2">
        <v>675002.6</v>
      </c>
    </row>
    <row r="938" spans="1:6" x14ac:dyDescent="0.25">
      <c r="A938" t="s">
        <v>373</v>
      </c>
      <c r="B938">
        <v>5</v>
      </c>
      <c r="C938" s="2">
        <v>628867.98</v>
      </c>
      <c r="D938" s="2" t="s">
        <v>391</v>
      </c>
      <c r="E938" s="1"/>
      <c r="F938" s="2"/>
    </row>
    <row r="939" spans="1:6" x14ac:dyDescent="0.25">
      <c r="A939" t="s">
        <v>373</v>
      </c>
      <c r="B939">
        <v>6</v>
      </c>
      <c r="C939" s="2">
        <v>628867.98</v>
      </c>
      <c r="D939" s="2" t="s">
        <v>391</v>
      </c>
      <c r="E939" s="1"/>
      <c r="F939" s="2"/>
    </row>
    <row r="940" spans="1:6" x14ac:dyDescent="0.25">
      <c r="A940" t="s">
        <v>374</v>
      </c>
      <c r="B940">
        <v>1</v>
      </c>
      <c r="C940" s="2">
        <v>299638.40000000002</v>
      </c>
      <c r="D940" s="2" t="s">
        <v>390</v>
      </c>
      <c r="E940" s="1">
        <v>44743</v>
      </c>
      <c r="F940" s="2">
        <v>299638.40000000002</v>
      </c>
    </row>
    <row r="941" spans="1:6" x14ac:dyDescent="0.25">
      <c r="A941" t="s">
        <v>374</v>
      </c>
      <c r="B941">
        <v>2</v>
      </c>
      <c r="C941" s="2">
        <v>973702.2</v>
      </c>
      <c r="D941" s="2" t="s">
        <v>390</v>
      </c>
      <c r="E941" s="1">
        <v>45364</v>
      </c>
      <c r="F941" s="2">
        <v>973702.2</v>
      </c>
    </row>
    <row r="942" spans="1:6" x14ac:dyDescent="0.25">
      <c r="A942" t="s">
        <v>374</v>
      </c>
      <c r="B942">
        <v>3</v>
      </c>
      <c r="C942" s="2">
        <v>930939.18</v>
      </c>
      <c r="D942" s="2" t="s">
        <v>391</v>
      </c>
      <c r="E942" s="1"/>
      <c r="F942" s="2"/>
    </row>
    <row r="943" spans="1:6" x14ac:dyDescent="0.25">
      <c r="A943" t="s">
        <v>375</v>
      </c>
      <c r="B943">
        <v>1</v>
      </c>
      <c r="C943" s="2">
        <v>200000</v>
      </c>
      <c r="D943" s="2" t="s">
        <v>390</v>
      </c>
      <c r="E943" s="1">
        <v>45411</v>
      </c>
      <c r="F943" s="2">
        <v>200000</v>
      </c>
    </row>
    <row r="944" spans="1:6" x14ac:dyDescent="0.25">
      <c r="A944" t="s">
        <v>375</v>
      </c>
      <c r="B944">
        <v>2</v>
      </c>
      <c r="C944" s="2">
        <v>200000</v>
      </c>
      <c r="D944" s="2" t="s">
        <v>390</v>
      </c>
      <c r="E944" s="1">
        <v>45880</v>
      </c>
      <c r="F944" s="2">
        <v>200000</v>
      </c>
    </row>
    <row r="945" spans="1:6" x14ac:dyDescent="0.25">
      <c r="A945" t="s">
        <v>376</v>
      </c>
      <c r="B945">
        <v>1</v>
      </c>
      <c r="C945" s="2">
        <v>100000</v>
      </c>
      <c r="D945" s="2" t="s">
        <v>390</v>
      </c>
      <c r="E945" s="1">
        <v>45477</v>
      </c>
      <c r="F945" s="2">
        <v>100000</v>
      </c>
    </row>
    <row r="946" spans="1:6" x14ac:dyDescent="0.25">
      <c r="A946" t="s">
        <v>376</v>
      </c>
      <c r="B946">
        <v>2</v>
      </c>
      <c r="C946" s="2">
        <v>900000</v>
      </c>
      <c r="D946" s="2" t="s">
        <v>390</v>
      </c>
      <c r="E946" s="1">
        <v>45916</v>
      </c>
      <c r="F946" s="2">
        <v>900000</v>
      </c>
    </row>
    <row r="947" spans="1:6" x14ac:dyDescent="0.25">
      <c r="A947" t="s">
        <v>378</v>
      </c>
      <c r="B947">
        <v>1</v>
      </c>
      <c r="C947" s="2">
        <v>517693</v>
      </c>
      <c r="D947" s="2" t="s">
        <v>390</v>
      </c>
      <c r="E947" s="1">
        <v>44743</v>
      </c>
      <c r="F947" s="2">
        <v>517693</v>
      </c>
    </row>
    <row r="948" spans="1:6" x14ac:dyDescent="0.25">
      <c r="A948" t="s">
        <v>378</v>
      </c>
      <c r="B948">
        <v>2</v>
      </c>
      <c r="C948" s="2">
        <v>517693</v>
      </c>
      <c r="D948" s="2" t="s">
        <v>390</v>
      </c>
      <c r="E948" s="1">
        <v>44743</v>
      </c>
      <c r="F948" s="2">
        <v>517693</v>
      </c>
    </row>
    <row r="949" spans="1:6" x14ac:dyDescent="0.25">
      <c r="A949" t="s">
        <v>378</v>
      </c>
      <c r="B949">
        <v>3</v>
      </c>
      <c r="C949" s="2">
        <v>517693</v>
      </c>
      <c r="D949" s="2" t="s">
        <v>390</v>
      </c>
      <c r="E949" s="1">
        <v>45014</v>
      </c>
      <c r="F949" s="2">
        <v>517693</v>
      </c>
    </row>
    <row r="950" spans="1:6" x14ac:dyDescent="0.25">
      <c r="A950" t="s">
        <v>378</v>
      </c>
      <c r="B950">
        <v>4</v>
      </c>
      <c r="C950" s="2">
        <v>517693</v>
      </c>
      <c r="D950" s="2" t="s">
        <v>390</v>
      </c>
      <c r="E950" s="1">
        <v>45132</v>
      </c>
      <c r="F950" s="2">
        <v>517693</v>
      </c>
    </row>
    <row r="951" spans="1:6" x14ac:dyDescent="0.25">
      <c r="A951" t="s">
        <v>378</v>
      </c>
      <c r="B951">
        <v>5</v>
      </c>
      <c r="C951" s="2">
        <v>517693</v>
      </c>
      <c r="D951" s="2" t="s">
        <v>390</v>
      </c>
      <c r="E951" s="1">
        <v>45364</v>
      </c>
      <c r="F951" s="2">
        <v>517693</v>
      </c>
    </row>
    <row r="952" spans="1:6" x14ac:dyDescent="0.25">
      <c r="A952" t="s">
        <v>378</v>
      </c>
      <c r="B952">
        <v>6</v>
      </c>
      <c r="C952" s="2">
        <v>517693</v>
      </c>
      <c r="D952" s="2" t="s">
        <v>390</v>
      </c>
      <c r="E952" s="1">
        <v>45735</v>
      </c>
      <c r="F952" s="2">
        <v>517693</v>
      </c>
    </row>
    <row r="953" spans="1:6" x14ac:dyDescent="0.25">
      <c r="A953" t="s">
        <v>378</v>
      </c>
      <c r="B953">
        <v>7</v>
      </c>
      <c r="C953" s="2">
        <v>517693</v>
      </c>
      <c r="D953" s="2" t="s">
        <v>391</v>
      </c>
      <c r="E953" s="1"/>
      <c r="F953" s="2"/>
    </row>
    <row r="954" spans="1:6" x14ac:dyDescent="0.25">
      <c r="A954" t="s">
        <v>378</v>
      </c>
      <c r="B954">
        <v>8</v>
      </c>
      <c r="C954" s="2">
        <v>517693</v>
      </c>
      <c r="D954" s="2" t="s">
        <v>391</v>
      </c>
      <c r="E954" s="1"/>
      <c r="F954" s="2"/>
    </row>
    <row r="955" spans="1:6" x14ac:dyDescent="0.25">
      <c r="A955" t="s">
        <v>379</v>
      </c>
      <c r="B955">
        <v>1</v>
      </c>
      <c r="C955" s="2">
        <v>456000</v>
      </c>
      <c r="D955" s="2" t="s">
        <v>390</v>
      </c>
      <c r="E955" s="1">
        <v>45174</v>
      </c>
      <c r="F955" s="2">
        <v>456000</v>
      </c>
    </row>
    <row r="956" spans="1:6" x14ac:dyDescent="0.25">
      <c r="A956" t="s">
        <v>379</v>
      </c>
      <c r="B956">
        <v>2</v>
      </c>
      <c r="C956" s="2">
        <v>744000</v>
      </c>
      <c r="D956" s="2" t="s">
        <v>390</v>
      </c>
      <c r="E956" s="1">
        <v>45174</v>
      </c>
      <c r="F956" s="2">
        <v>744000</v>
      </c>
    </row>
    <row r="957" spans="1:6" x14ac:dyDescent="0.25">
      <c r="A957" t="s">
        <v>379</v>
      </c>
      <c r="B957">
        <v>3</v>
      </c>
      <c r="C957" s="2">
        <v>816000</v>
      </c>
      <c r="D957" s="2" t="s">
        <v>390</v>
      </c>
      <c r="E957" s="1">
        <v>45408</v>
      </c>
      <c r="F957" s="2">
        <v>816000</v>
      </c>
    </row>
    <row r="958" spans="1:6" x14ac:dyDescent="0.25">
      <c r="A958" t="s">
        <v>379</v>
      </c>
      <c r="B958">
        <v>4</v>
      </c>
      <c r="C958" s="2">
        <v>384000</v>
      </c>
      <c r="D958" s="2" t="s">
        <v>391</v>
      </c>
      <c r="E958" s="1"/>
      <c r="F958" s="2"/>
    </row>
    <row r="959" spans="1:6" x14ac:dyDescent="0.25">
      <c r="A959" t="s">
        <v>380</v>
      </c>
      <c r="B959">
        <v>1</v>
      </c>
      <c r="C959" s="2">
        <v>356384.94</v>
      </c>
      <c r="D959" s="2" t="s">
        <v>390</v>
      </c>
      <c r="E959" s="1">
        <v>45398</v>
      </c>
      <c r="F959" s="2">
        <v>356384.94</v>
      </c>
    </row>
    <row r="960" spans="1:6" x14ac:dyDescent="0.25">
      <c r="A960" t="s">
        <v>380</v>
      </c>
      <c r="B960">
        <v>2</v>
      </c>
      <c r="C960" s="2">
        <v>396786.19</v>
      </c>
      <c r="D960" s="2" t="s">
        <v>390</v>
      </c>
      <c r="E960" s="1">
        <v>45740</v>
      </c>
      <c r="F960" s="2">
        <v>396786.19</v>
      </c>
    </row>
    <row r="961" spans="1:6" x14ac:dyDescent="0.25">
      <c r="A961" t="s">
        <v>380</v>
      </c>
      <c r="B961">
        <v>3</v>
      </c>
      <c r="C961" s="2">
        <v>341713.49</v>
      </c>
      <c r="D961" s="2" t="s">
        <v>390</v>
      </c>
      <c r="E961" s="1">
        <v>45930</v>
      </c>
      <c r="F961" s="2">
        <v>341713.49</v>
      </c>
    </row>
    <row r="962" spans="1:6" x14ac:dyDescent="0.25">
      <c r="A962" t="s">
        <v>382</v>
      </c>
      <c r="B962">
        <v>1</v>
      </c>
      <c r="C962" s="2">
        <v>496358.56</v>
      </c>
      <c r="D962" s="2" t="s">
        <v>390</v>
      </c>
      <c r="E962" s="1">
        <v>45021</v>
      </c>
      <c r="F962" s="2">
        <v>496358.56</v>
      </c>
    </row>
    <row r="963" spans="1:6" x14ac:dyDescent="0.25">
      <c r="A963" t="s">
        <v>382</v>
      </c>
      <c r="B963">
        <v>2</v>
      </c>
      <c r="C963" s="2">
        <v>841881.53</v>
      </c>
      <c r="D963" s="2" t="s">
        <v>390</v>
      </c>
      <c r="E963" s="1">
        <v>45265</v>
      </c>
      <c r="F963" s="2">
        <v>841881.53</v>
      </c>
    </row>
    <row r="964" spans="1:6" x14ac:dyDescent="0.25">
      <c r="A964" t="s">
        <v>382</v>
      </c>
      <c r="B964">
        <v>3</v>
      </c>
      <c r="C964" s="2">
        <v>841881.53</v>
      </c>
      <c r="D964" s="2" t="s">
        <v>390</v>
      </c>
      <c r="E964" s="1">
        <v>45408</v>
      </c>
      <c r="F964" s="2">
        <v>841881.53</v>
      </c>
    </row>
    <row r="965" spans="1:6" x14ac:dyDescent="0.25">
      <c r="A965" t="s">
        <v>382</v>
      </c>
      <c r="B965">
        <v>4</v>
      </c>
      <c r="C965" s="2">
        <v>841881.53</v>
      </c>
      <c r="D965" s="2" t="s">
        <v>390</v>
      </c>
      <c r="E965" s="1">
        <v>45763</v>
      </c>
      <c r="F965" s="2">
        <v>841881.53</v>
      </c>
    </row>
    <row r="966" spans="1:6" x14ac:dyDescent="0.25">
      <c r="A966" t="s">
        <v>383</v>
      </c>
      <c r="B966">
        <v>1</v>
      </c>
      <c r="C966" s="2">
        <v>493645.32</v>
      </c>
      <c r="D966" s="2" t="s">
        <v>390</v>
      </c>
      <c r="E966" s="1">
        <v>45021</v>
      </c>
      <c r="F966" s="2">
        <v>493645.32</v>
      </c>
    </row>
    <row r="967" spans="1:6" x14ac:dyDescent="0.25">
      <c r="A967" t="s">
        <v>383</v>
      </c>
      <c r="B967">
        <v>2</v>
      </c>
      <c r="C967" s="2">
        <v>1279931</v>
      </c>
      <c r="D967" s="2" t="s">
        <v>390</v>
      </c>
      <c r="E967" s="1">
        <v>45267</v>
      </c>
      <c r="F967" s="2">
        <v>1279931</v>
      </c>
    </row>
    <row r="968" spans="1:6" x14ac:dyDescent="0.25">
      <c r="A968" t="s">
        <v>383</v>
      </c>
      <c r="B968">
        <v>3</v>
      </c>
      <c r="C968" s="2">
        <v>1279931</v>
      </c>
      <c r="D968" s="2" t="s">
        <v>390</v>
      </c>
      <c r="E968" s="1">
        <v>45267</v>
      </c>
      <c r="F968" s="2">
        <v>1279931</v>
      </c>
    </row>
    <row r="969" spans="1:6" x14ac:dyDescent="0.25">
      <c r="A969" t="s">
        <v>384</v>
      </c>
      <c r="B969">
        <v>1</v>
      </c>
      <c r="C969" s="2">
        <v>236302.99</v>
      </c>
      <c r="D969" s="2" t="s">
        <v>390</v>
      </c>
      <c r="E969" s="1">
        <v>45475</v>
      </c>
      <c r="F969" s="2">
        <v>236302.99</v>
      </c>
    </row>
    <row r="970" spans="1:6" x14ac:dyDescent="0.25">
      <c r="A970" t="s">
        <v>384</v>
      </c>
      <c r="B970">
        <v>2</v>
      </c>
      <c r="C970" s="2">
        <v>236303</v>
      </c>
      <c r="D970" s="2" t="s">
        <v>390</v>
      </c>
      <c r="E970" s="1">
        <v>45763</v>
      </c>
      <c r="F970" s="2">
        <v>236303</v>
      </c>
    </row>
    <row r="971" spans="1:6" x14ac:dyDescent="0.25">
      <c r="A971" t="s">
        <v>386</v>
      </c>
      <c r="B971">
        <v>1</v>
      </c>
      <c r="C971" s="2">
        <v>300000</v>
      </c>
      <c r="D971" s="2" t="s">
        <v>390</v>
      </c>
      <c r="E971" s="1">
        <v>43279</v>
      </c>
      <c r="F971" s="2">
        <v>300000</v>
      </c>
    </row>
    <row r="972" spans="1:6" x14ac:dyDescent="0.25">
      <c r="A972" t="s">
        <v>386</v>
      </c>
      <c r="B972">
        <v>2</v>
      </c>
      <c r="C972" s="2">
        <v>350000</v>
      </c>
      <c r="D972" s="2" t="s">
        <v>390</v>
      </c>
      <c r="E972" s="1">
        <v>43797</v>
      </c>
      <c r="F972" s="2">
        <v>350000</v>
      </c>
    </row>
    <row r="973" spans="1:6" x14ac:dyDescent="0.25">
      <c r="A973" t="s">
        <v>386</v>
      </c>
      <c r="B973">
        <v>3</v>
      </c>
      <c r="C973" s="2">
        <v>350000</v>
      </c>
      <c r="D973" s="2" t="s">
        <v>391</v>
      </c>
      <c r="E973" s="1"/>
      <c r="F973" s="2"/>
    </row>
    <row r="974" spans="1:6" x14ac:dyDescent="0.25">
      <c r="A974" t="s">
        <v>388</v>
      </c>
      <c r="B974">
        <v>5</v>
      </c>
      <c r="C974" s="2">
        <v>206328.1</v>
      </c>
      <c r="D974" s="2" t="s">
        <v>390</v>
      </c>
      <c r="E974" s="1">
        <v>45420</v>
      </c>
      <c r="F974" s="2">
        <v>206328.1</v>
      </c>
    </row>
    <row r="975" spans="1:6" x14ac:dyDescent="0.25">
      <c r="A975" t="s">
        <v>388</v>
      </c>
      <c r="B975">
        <v>1</v>
      </c>
      <c r="C975" s="2">
        <v>77000</v>
      </c>
      <c r="D975" s="2" t="s">
        <v>390</v>
      </c>
      <c r="E975" s="1">
        <v>44998</v>
      </c>
      <c r="F975" s="2">
        <v>77000</v>
      </c>
    </row>
    <row r="976" spans="1:6" x14ac:dyDescent="0.25">
      <c r="A976" t="s">
        <v>388</v>
      </c>
      <c r="B976">
        <v>2</v>
      </c>
      <c r="C976" s="2">
        <v>77000</v>
      </c>
      <c r="D976" s="2" t="s">
        <v>390</v>
      </c>
      <c r="E976" s="1">
        <v>45280</v>
      </c>
      <c r="F976" s="2">
        <v>77000</v>
      </c>
    </row>
    <row r="977" spans="1:6" x14ac:dyDescent="0.25">
      <c r="A977" t="s">
        <v>389</v>
      </c>
      <c r="B977">
        <v>1</v>
      </c>
      <c r="C977" s="2">
        <v>925093.58</v>
      </c>
      <c r="D977" s="2" t="s">
        <v>390</v>
      </c>
      <c r="E977" s="1">
        <v>45411</v>
      </c>
      <c r="F977" s="2">
        <v>925093.58</v>
      </c>
    </row>
    <row r="978" spans="1:6" x14ac:dyDescent="0.25">
      <c r="A978" t="s">
        <v>389</v>
      </c>
      <c r="B978">
        <v>2</v>
      </c>
      <c r="C978" s="2">
        <v>1804175.86</v>
      </c>
      <c r="D978" s="2" t="s">
        <v>390</v>
      </c>
      <c r="E978" s="1">
        <v>45694</v>
      </c>
      <c r="F978" s="2">
        <v>1804175.86</v>
      </c>
    </row>
    <row r="979" spans="1:6" x14ac:dyDescent="0.25">
      <c r="A979" t="s">
        <v>389</v>
      </c>
      <c r="B979">
        <v>3</v>
      </c>
      <c r="C979" s="2">
        <v>2139224.75</v>
      </c>
      <c r="D979" s="2" t="s">
        <v>390</v>
      </c>
      <c r="E979" s="1">
        <v>45939</v>
      </c>
      <c r="F979" s="2">
        <v>2139224.75</v>
      </c>
    </row>
    <row r="980" spans="1:6" x14ac:dyDescent="0.25">
      <c r="A980" t="s">
        <v>431</v>
      </c>
      <c r="B980">
        <v>1</v>
      </c>
      <c r="C980" s="2">
        <v>2405918.11</v>
      </c>
      <c r="D980" s="2" t="s">
        <v>390</v>
      </c>
      <c r="E980" s="1">
        <v>45351</v>
      </c>
      <c r="F980" s="2">
        <v>2405918.11</v>
      </c>
    </row>
    <row r="981" spans="1:6" x14ac:dyDescent="0.25">
      <c r="A981" t="s">
        <v>431</v>
      </c>
      <c r="B981">
        <v>2</v>
      </c>
      <c r="C981" s="2">
        <v>2405918.11</v>
      </c>
      <c r="D981" s="2" t="s">
        <v>390</v>
      </c>
      <c r="E981" s="1">
        <v>45548</v>
      </c>
      <c r="F981" s="2">
        <v>2405918.11</v>
      </c>
    </row>
    <row r="982" spans="1:6" x14ac:dyDescent="0.25">
      <c r="A982" t="s">
        <v>431</v>
      </c>
      <c r="B982">
        <v>3</v>
      </c>
      <c r="C982" s="2">
        <v>2405918.11</v>
      </c>
      <c r="D982" s="2" t="s">
        <v>390</v>
      </c>
      <c r="E982" s="1">
        <v>45763</v>
      </c>
      <c r="F982" s="2">
        <v>2405918.11</v>
      </c>
    </row>
    <row r="983" spans="1:6" x14ac:dyDescent="0.25">
      <c r="A983" t="s">
        <v>431</v>
      </c>
      <c r="B983">
        <v>4</v>
      </c>
      <c r="C983" s="2">
        <v>2405918.12</v>
      </c>
      <c r="D983" s="2" t="s">
        <v>391</v>
      </c>
      <c r="E983" s="1"/>
      <c r="F983" s="2"/>
    </row>
    <row r="984" spans="1:6" x14ac:dyDescent="0.25">
      <c r="A984" t="s">
        <v>432</v>
      </c>
      <c r="B984">
        <v>1</v>
      </c>
      <c r="C984" s="2">
        <v>1122046.54</v>
      </c>
      <c r="D984" s="2" t="s">
        <v>390</v>
      </c>
      <c r="E984" s="1">
        <v>44622</v>
      </c>
      <c r="F984" s="2">
        <v>1122046.54</v>
      </c>
    </row>
    <row r="985" spans="1:6" x14ac:dyDescent="0.25">
      <c r="A985" t="s">
        <v>432</v>
      </c>
      <c r="B985">
        <v>2</v>
      </c>
      <c r="C985" s="2">
        <v>1268423.83</v>
      </c>
      <c r="D985" s="2" t="s">
        <v>390</v>
      </c>
      <c r="E985" s="1">
        <v>44805</v>
      </c>
      <c r="F985" s="2">
        <v>1268423.83</v>
      </c>
    </row>
    <row r="986" spans="1:6" x14ac:dyDescent="0.25">
      <c r="A986" t="s">
        <v>432</v>
      </c>
      <c r="B986">
        <v>3</v>
      </c>
      <c r="C986" s="2">
        <v>1361641.47</v>
      </c>
      <c r="D986" s="2" t="s">
        <v>390</v>
      </c>
      <c r="E986" s="1">
        <v>44959</v>
      </c>
      <c r="F986" s="2">
        <v>1361641.47</v>
      </c>
    </row>
    <row r="987" spans="1:6" x14ac:dyDescent="0.25">
      <c r="A987" t="s">
        <v>432</v>
      </c>
      <c r="B987">
        <v>4</v>
      </c>
      <c r="C987" s="2">
        <v>533763.04</v>
      </c>
      <c r="D987" s="2" t="s">
        <v>390</v>
      </c>
      <c r="E987" s="1">
        <v>45099</v>
      </c>
      <c r="F987" s="2">
        <v>533763.04</v>
      </c>
    </row>
    <row r="988" spans="1:6" x14ac:dyDescent="0.25">
      <c r="A988" t="s">
        <v>432</v>
      </c>
      <c r="B988">
        <v>5</v>
      </c>
      <c r="C988" s="2">
        <v>206328.1</v>
      </c>
      <c r="D988" s="2" t="s">
        <v>390</v>
      </c>
      <c r="E988" s="1">
        <v>45420</v>
      </c>
      <c r="F988" s="2">
        <v>206328.1</v>
      </c>
    </row>
    <row r="989" spans="1:6" x14ac:dyDescent="0.25">
      <c r="A989" t="s">
        <v>433</v>
      </c>
      <c r="B989">
        <v>1</v>
      </c>
      <c r="C989" s="2">
        <v>1800000</v>
      </c>
      <c r="D989" s="2" t="s">
        <v>390</v>
      </c>
      <c r="E989" s="1">
        <v>44657</v>
      </c>
      <c r="F989" s="2">
        <v>1800000</v>
      </c>
    </row>
    <row r="990" spans="1:6" x14ac:dyDescent="0.25">
      <c r="A990" t="s">
        <v>433</v>
      </c>
      <c r="B990">
        <v>2</v>
      </c>
      <c r="C990" s="2">
        <v>1950000</v>
      </c>
      <c r="D990" s="2" t="s">
        <v>390</v>
      </c>
      <c r="E990" s="1">
        <v>45076</v>
      </c>
      <c r="F990" s="2">
        <v>1950000</v>
      </c>
    </row>
    <row r="991" spans="1:6" x14ac:dyDescent="0.25">
      <c r="A991" t="s">
        <v>433</v>
      </c>
      <c r="B991">
        <v>3</v>
      </c>
      <c r="C991" s="2">
        <v>1250000</v>
      </c>
      <c r="D991" s="2" t="s">
        <v>390</v>
      </c>
      <c r="E991" s="1">
        <v>45321</v>
      </c>
      <c r="F991" s="2">
        <v>1250000</v>
      </c>
    </row>
    <row r="992" spans="1:6" x14ac:dyDescent="0.25">
      <c r="A992" t="s">
        <v>434</v>
      </c>
      <c r="B992">
        <v>1</v>
      </c>
      <c r="C992" s="2">
        <v>130994.01</v>
      </c>
      <c r="D992" s="2" t="s">
        <v>390</v>
      </c>
      <c r="E992" s="1">
        <v>45065</v>
      </c>
      <c r="F992" s="2">
        <v>130994.01</v>
      </c>
    </row>
    <row r="993" spans="1:6" x14ac:dyDescent="0.25">
      <c r="A993" t="s">
        <v>434</v>
      </c>
      <c r="B993">
        <v>2</v>
      </c>
      <c r="C993" s="2">
        <v>305652.68</v>
      </c>
      <c r="D993" s="2" t="s">
        <v>390</v>
      </c>
      <c r="E993" s="1">
        <v>45786</v>
      </c>
      <c r="F993" s="2">
        <v>305652.68</v>
      </c>
    </row>
    <row r="994" spans="1:6" x14ac:dyDescent="0.25">
      <c r="A994" t="s">
        <v>435</v>
      </c>
      <c r="B994">
        <v>1</v>
      </c>
      <c r="C994" s="2">
        <v>500000</v>
      </c>
      <c r="D994" s="2" t="s">
        <v>390</v>
      </c>
      <c r="E994" s="1">
        <v>44740</v>
      </c>
      <c r="F994" s="2">
        <v>500000</v>
      </c>
    </row>
    <row r="995" spans="1:6" x14ac:dyDescent="0.25">
      <c r="A995" t="s">
        <v>435</v>
      </c>
      <c r="B995">
        <v>2</v>
      </c>
      <c r="C995" s="2">
        <v>905238.33</v>
      </c>
      <c r="D995" s="2" t="s">
        <v>390</v>
      </c>
      <c r="E995" s="1">
        <v>44980</v>
      </c>
      <c r="F995" s="2">
        <v>905238.33</v>
      </c>
    </row>
    <row r="996" spans="1:6" x14ac:dyDescent="0.25">
      <c r="A996" t="s">
        <v>435</v>
      </c>
      <c r="B996">
        <v>3</v>
      </c>
      <c r="C996" s="2">
        <v>905238.32</v>
      </c>
      <c r="D996" s="2" t="s">
        <v>390</v>
      </c>
      <c r="E996" s="1">
        <v>45373</v>
      </c>
      <c r="F996" s="2">
        <v>905238.32</v>
      </c>
    </row>
    <row r="997" spans="1:6" x14ac:dyDescent="0.25">
      <c r="A997" t="s">
        <v>436</v>
      </c>
      <c r="B997">
        <v>1</v>
      </c>
      <c r="C997" s="2">
        <v>74338.64</v>
      </c>
      <c r="D997" s="2" t="s">
        <v>390</v>
      </c>
      <c r="E997" s="1">
        <v>45057</v>
      </c>
      <c r="F997" s="2">
        <v>74338.64</v>
      </c>
    </row>
    <row r="998" spans="1:6" x14ac:dyDescent="0.25">
      <c r="A998" t="s">
        <v>436</v>
      </c>
      <c r="B998">
        <v>2</v>
      </c>
      <c r="C998" s="2">
        <v>74338.63</v>
      </c>
      <c r="D998" s="2" t="s">
        <v>390</v>
      </c>
      <c r="E998" s="1">
        <v>45656</v>
      </c>
      <c r="F998" s="2">
        <v>74338.63</v>
      </c>
    </row>
    <row r="999" spans="1:6" x14ac:dyDescent="0.25">
      <c r="A999" t="s">
        <v>438</v>
      </c>
      <c r="B999">
        <v>1</v>
      </c>
      <c r="C999" s="2">
        <v>179274.78</v>
      </c>
      <c r="D999" s="2" t="s">
        <v>390</v>
      </c>
      <c r="E999" s="1">
        <v>45093</v>
      </c>
      <c r="F999" s="2">
        <v>179274.78</v>
      </c>
    </row>
    <row r="1000" spans="1:6" x14ac:dyDescent="0.25">
      <c r="A1000" t="s">
        <v>438</v>
      </c>
      <c r="B1000">
        <v>2</v>
      </c>
      <c r="C1000" s="2">
        <v>239033.03</v>
      </c>
      <c r="D1000" s="2" t="s">
        <v>390</v>
      </c>
      <c r="E1000" s="1">
        <v>45422</v>
      </c>
      <c r="F1000" s="2">
        <v>239033.03</v>
      </c>
    </row>
    <row r="1001" spans="1:6" x14ac:dyDescent="0.25">
      <c r="A1001" t="s">
        <v>438</v>
      </c>
      <c r="B1001">
        <v>3</v>
      </c>
      <c r="C1001" s="2">
        <v>179274.77</v>
      </c>
      <c r="D1001" s="2" t="s">
        <v>390</v>
      </c>
      <c r="E1001" s="1">
        <v>45834</v>
      </c>
      <c r="F1001" s="2">
        <v>179274.77</v>
      </c>
    </row>
    <row r="1002" spans="1:6" x14ac:dyDescent="0.25">
      <c r="A1002" t="s">
        <v>439</v>
      </c>
      <c r="B1002">
        <v>1</v>
      </c>
      <c r="C1002" s="2">
        <v>219250</v>
      </c>
      <c r="D1002" s="2" t="s">
        <v>390</v>
      </c>
      <c r="E1002" s="1">
        <v>45090</v>
      </c>
      <c r="F1002" s="2">
        <v>219250</v>
      </c>
    </row>
    <row r="1003" spans="1:6" x14ac:dyDescent="0.25">
      <c r="A1003" t="s">
        <v>439</v>
      </c>
      <c r="B1003">
        <v>2</v>
      </c>
      <c r="C1003" s="2">
        <v>280750</v>
      </c>
      <c r="D1003" s="2" t="s">
        <v>390</v>
      </c>
      <c r="E1003" s="1">
        <v>45407</v>
      </c>
      <c r="F1003" s="2">
        <v>280750</v>
      </c>
    </row>
    <row r="1004" spans="1:6" x14ac:dyDescent="0.25">
      <c r="A1004" t="s">
        <v>440</v>
      </c>
      <c r="B1004">
        <v>1</v>
      </c>
      <c r="C1004" s="2">
        <v>208333.33</v>
      </c>
      <c r="D1004" s="2" t="s">
        <v>390</v>
      </c>
      <c r="E1004" s="1">
        <v>44743</v>
      </c>
      <c r="F1004" s="2">
        <v>208333.33</v>
      </c>
    </row>
    <row r="1005" spans="1:6" x14ac:dyDescent="0.25">
      <c r="A1005" t="s">
        <v>440</v>
      </c>
      <c r="B1005">
        <v>2</v>
      </c>
      <c r="C1005" s="2">
        <v>1145833.33</v>
      </c>
      <c r="D1005" s="2" t="s">
        <v>390</v>
      </c>
      <c r="E1005" s="1">
        <v>45076</v>
      </c>
      <c r="F1005" s="2">
        <v>1145833.33</v>
      </c>
    </row>
    <row r="1006" spans="1:6" x14ac:dyDescent="0.25">
      <c r="A1006" t="s">
        <v>440</v>
      </c>
      <c r="B1006">
        <v>3</v>
      </c>
      <c r="C1006" s="2">
        <v>1145833.3400000001</v>
      </c>
      <c r="D1006" s="2" t="s">
        <v>390</v>
      </c>
      <c r="E1006" s="1">
        <v>45226</v>
      </c>
      <c r="F1006" s="2">
        <v>1145833.3400000001</v>
      </c>
    </row>
    <row r="1007" spans="1:6" x14ac:dyDescent="0.25">
      <c r="A1007" t="s">
        <v>441</v>
      </c>
      <c r="B1007">
        <v>1</v>
      </c>
      <c r="C1007" s="2">
        <v>300000</v>
      </c>
      <c r="D1007" s="2" t="s">
        <v>390</v>
      </c>
      <c r="E1007" s="1">
        <v>44718</v>
      </c>
      <c r="F1007" s="2">
        <v>300000</v>
      </c>
    </row>
    <row r="1008" spans="1:6" x14ac:dyDescent="0.25">
      <c r="A1008" t="s">
        <v>441</v>
      </c>
      <c r="B1008">
        <v>2</v>
      </c>
      <c r="C1008" s="2">
        <v>300000</v>
      </c>
      <c r="D1008" s="2" t="s">
        <v>390</v>
      </c>
      <c r="E1008" s="1">
        <v>45371</v>
      </c>
      <c r="F1008" s="2">
        <v>300000</v>
      </c>
    </row>
    <row r="1009" spans="1:6" x14ac:dyDescent="0.25">
      <c r="A1009" t="s">
        <v>442</v>
      </c>
      <c r="B1009">
        <v>1</v>
      </c>
      <c r="C1009" s="2">
        <v>196218.66</v>
      </c>
      <c r="D1009" s="2" t="s">
        <v>390</v>
      </c>
      <c r="E1009" s="1">
        <v>44742</v>
      </c>
      <c r="F1009" s="2">
        <v>196218.66</v>
      </c>
    </row>
    <row r="1010" spans="1:6" x14ac:dyDescent="0.25">
      <c r="A1010" t="s">
        <v>442</v>
      </c>
      <c r="B1010">
        <v>2</v>
      </c>
      <c r="C1010" s="2">
        <v>163765.37</v>
      </c>
      <c r="D1010" s="2" t="s">
        <v>390</v>
      </c>
      <c r="E1010" s="1">
        <v>45121</v>
      </c>
      <c r="F1010" s="2">
        <v>163765.37</v>
      </c>
    </row>
    <row r="1011" spans="1:6" x14ac:dyDescent="0.25">
      <c r="A1011" t="s">
        <v>443</v>
      </c>
      <c r="B1011">
        <v>1</v>
      </c>
      <c r="C1011" s="2">
        <v>1288504.6100000001</v>
      </c>
      <c r="D1011" s="2" t="s">
        <v>390</v>
      </c>
      <c r="E1011" s="1">
        <v>44601</v>
      </c>
      <c r="F1011" s="2">
        <v>1288504.6100000001</v>
      </c>
    </row>
    <row r="1012" spans="1:6" x14ac:dyDescent="0.25">
      <c r="A1012" t="s">
        <v>443</v>
      </c>
      <c r="B1012">
        <v>2</v>
      </c>
      <c r="C1012" s="2">
        <v>1718006.16</v>
      </c>
      <c r="D1012" s="2" t="s">
        <v>390</v>
      </c>
      <c r="E1012" s="1">
        <v>45001</v>
      </c>
      <c r="F1012" s="2">
        <v>1718006.16</v>
      </c>
    </row>
    <row r="1013" spans="1:6" x14ac:dyDescent="0.25">
      <c r="A1013" t="s">
        <v>443</v>
      </c>
      <c r="B1013">
        <v>3</v>
      </c>
      <c r="C1013" s="2">
        <v>1288504.6100000001</v>
      </c>
      <c r="D1013" s="2" t="s">
        <v>390</v>
      </c>
      <c r="E1013" s="1">
        <v>45401</v>
      </c>
      <c r="F1013" s="2">
        <v>1288504.6100000001</v>
      </c>
    </row>
    <row r="1014" spans="1:6" x14ac:dyDescent="0.25">
      <c r="A1014" t="s">
        <v>444</v>
      </c>
      <c r="B1014">
        <v>1</v>
      </c>
      <c r="C1014" s="2">
        <v>60000</v>
      </c>
      <c r="D1014" s="2" t="s">
        <v>390</v>
      </c>
      <c r="E1014" s="1">
        <v>44601</v>
      </c>
      <c r="F1014" s="2">
        <v>60000</v>
      </c>
    </row>
    <row r="1015" spans="1:6" x14ac:dyDescent="0.25">
      <c r="A1015" t="s">
        <v>444</v>
      </c>
      <c r="B1015">
        <v>2</v>
      </c>
      <c r="C1015" s="2">
        <v>60000</v>
      </c>
      <c r="D1015" s="2" t="s">
        <v>390</v>
      </c>
      <c r="E1015" s="1">
        <v>44910</v>
      </c>
      <c r="F1015" s="2">
        <v>60000</v>
      </c>
    </row>
    <row r="1016" spans="1:6" x14ac:dyDescent="0.25">
      <c r="A1016" t="s">
        <v>444</v>
      </c>
      <c r="B1016">
        <v>3</v>
      </c>
      <c r="C1016" s="2">
        <v>60000</v>
      </c>
      <c r="D1016" s="2" t="s">
        <v>390</v>
      </c>
      <c r="E1016" s="1">
        <v>45148</v>
      </c>
      <c r="F1016" s="2">
        <v>60000</v>
      </c>
    </row>
    <row r="1017" spans="1:6" x14ac:dyDescent="0.25">
      <c r="A1017" t="s">
        <v>495</v>
      </c>
      <c r="B1017">
        <v>1</v>
      </c>
      <c r="C1017" s="3">
        <v>199040.81</v>
      </c>
      <c r="D1017" s="2" t="s">
        <v>390</v>
      </c>
      <c r="E1017" s="1">
        <v>44629</v>
      </c>
      <c r="F1017" s="3">
        <v>199040.81</v>
      </c>
    </row>
    <row r="1018" spans="1:6" x14ac:dyDescent="0.25">
      <c r="A1018" t="s">
        <v>750</v>
      </c>
      <c r="B1018">
        <v>1</v>
      </c>
      <c r="C1018" s="2">
        <v>350000</v>
      </c>
      <c r="D1018" s="2" t="s">
        <v>390</v>
      </c>
      <c r="E1018" s="1">
        <v>45453</v>
      </c>
      <c r="F1018" s="2">
        <v>350000</v>
      </c>
    </row>
    <row r="1019" spans="1:6" x14ac:dyDescent="0.25">
      <c r="A1019" t="s">
        <v>750</v>
      </c>
      <c r="B1019">
        <v>2</v>
      </c>
      <c r="C1019" s="2">
        <v>350000</v>
      </c>
      <c r="D1019" s="2" t="s">
        <v>390</v>
      </c>
      <c r="E1019" s="1">
        <v>45646</v>
      </c>
      <c r="F1019" s="2">
        <v>350000</v>
      </c>
    </row>
    <row r="1020" spans="1:6" x14ac:dyDescent="0.25">
      <c r="A1020" t="s">
        <v>750</v>
      </c>
      <c r="B1020">
        <v>3</v>
      </c>
      <c r="C1020" s="2">
        <v>300000</v>
      </c>
      <c r="D1020" s="2" t="s">
        <v>391</v>
      </c>
      <c r="E1020" s="1"/>
      <c r="F1020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37C8-396E-42AE-BB47-1BC127ED66C3}">
  <dimension ref="A1:B354"/>
  <sheetViews>
    <sheetView workbookViewId="0">
      <selection activeCell="A278" sqref="A278:XFD278"/>
    </sheetView>
  </sheetViews>
  <sheetFormatPr defaultRowHeight="15" x14ac:dyDescent="0.25"/>
  <cols>
    <col min="1" max="1" width="19.7109375" bestFit="1" customWidth="1"/>
    <col min="2" max="2" width="15.85546875" style="4" bestFit="1" customWidth="1"/>
  </cols>
  <sheetData>
    <row r="1" spans="1:2" x14ac:dyDescent="0.25">
      <c r="A1" t="s">
        <v>414</v>
      </c>
      <c r="B1" t="s">
        <v>445</v>
      </c>
    </row>
    <row r="2" spans="1:2" x14ac:dyDescent="0.25">
      <c r="A2" t="s">
        <v>2</v>
      </c>
      <c r="B2" t="s">
        <v>446</v>
      </c>
    </row>
    <row r="3" spans="1:2" x14ac:dyDescent="0.25">
      <c r="A3" t="s">
        <v>3</v>
      </c>
      <c r="B3" t="s">
        <v>447</v>
      </c>
    </row>
    <row r="4" spans="1:2" x14ac:dyDescent="0.25">
      <c r="A4" t="s">
        <v>5</v>
      </c>
      <c r="B4" t="s">
        <v>448</v>
      </c>
    </row>
    <row r="5" spans="1:2" x14ac:dyDescent="0.25">
      <c r="A5" t="s">
        <v>6</v>
      </c>
      <c r="B5" t="s">
        <v>449</v>
      </c>
    </row>
    <row r="6" spans="1:2" x14ac:dyDescent="0.25">
      <c r="A6" t="s">
        <v>7</v>
      </c>
      <c r="B6" t="s">
        <v>450</v>
      </c>
    </row>
    <row r="7" spans="1:2" x14ac:dyDescent="0.25">
      <c r="A7" t="s">
        <v>8</v>
      </c>
      <c r="B7" t="s">
        <v>451</v>
      </c>
    </row>
    <row r="8" spans="1:2" x14ac:dyDescent="0.25">
      <c r="A8" t="s">
        <v>10</v>
      </c>
      <c r="B8" t="s">
        <v>452</v>
      </c>
    </row>
    <row r="9" spans="1:2" x14ac:dyDescent="0.25">
      <c r="A9" t="s">
        <v>11</v>
      </c>
      <c r="B9" t="s">
        <v>453</v>
      </c>
    </row>
    <row r="10" spans="1:2" x14ac:dyDescent="0.25">
      <c r="A10" t="s">
        <v>12</v>
      </c>
      <c r="B10" t="s">
        <v>454</v>
      </c>
    </row>
    <row r="11" spans="1:2" x14ac:dyDescent="0.25">
      <c r="A11" t="s">
        <v>14</v>
      </c>
      <c r="B11" t="s">
        <v>455</v>
      </c>
    </row>
    <row r="12" spans="1:2" x14ac:dyDescent="0.25">
      <c r="A12" t="s">
        <v>16</v>
      </c>
      <c r="B12" t="s">
        <v>456</v>
      </c>
    </row>
    <row r="13" spans="1:2" x14ac:dyDescent="0.25">
      <c r="A13" t="s">
        <v>17</v>
      </c>
      <c r="B13" t="s">
        <v>457</v>
      </c>
    </row>
    <row r="14" spans="1:2" x14ac:dyDescent="0.25">
      <c r="A14" t="s">
        <v>18</v>
      </c>
      <c r="B14" t="s">
        <v>458</v>
      </c>
    </row>
    <row r="15" spans="1:2" x14ac:dyDescent="0.25">
      <c r="A15" t="s">
        <v>19</v>
      </c>
      <c r="B15" t="s">
        <v>459</v>
      </c>
    </row>
    <row r="16" spans="1:2" x14ac:dyDescent="0.25">
      <c r="A16" t="s">
        <v>19</v>
      </c>
      <c r="B16" t="s">
        <v>460</v>
      </c>
    </row>
    <row r="17" spans="1:2" x14ac:dyDescent="0.25">
      <c r="A17" t="s">
        <v>19</v>
      </c>
      <c r="B17" t="s">
        <v>461</v>
      </c>
    </row>
    <row r="18" spans="1:2" x14ac:dyDescent="0.25">
      <c r="A18" t="s">
        <v>21</v>
      </c>
      <c r="B18" t="s">
        <v>462</v>
      </c>
    </row>
    <row r="19" spans="1:2" x14ac:dyDescent="0.25">
      <c r="A19" t="s">
        <v>22</v>
      </c>
      <c r="B19" t="s">
        <v>463</v>
      </c>
    </row>
    <row r="20" spans="1:2" x14ac:dyDescent="0.25">
      <c r="A20" t="s">
        <v>23</v>
      </c>
      <c r="B20" t="s">
        <v>464</v>
      </c>
    </row>
    <row r="21" spans="1:2" x14ac:dyDescent="0.25">
      <c r="A21" t="s">
        <v>25</v>
      </c>
      <c r="B21" t="s">
        <v>465</v>
      </c>
    </row>
    <row r="22" spans="1:2" x14ac:dyDescent="0.25">
      <c r="A22" t="s">
        <v>26</v>
      </c>
      <c r="B22" t="s">
        <v>466</v>
      </c>
    </row>
    <row r="23" spans="1:2" x14ac:dyDescent="0.25">
      <c r="A23" t="s">
        <v>28</v>
      </c>
      <c r="B23" t="s">
        <v>467</v>
      </c>
    </row>
    <row r="24" spans="1:2" x14ac:dyDescent="0.25">
      <c r="A24" t="s">
        <v>29</v>
      </c>
      <c r="B24" t="s">
        <v>468</v>
      </c>
    </row>
    <row r="25" spans="1:2" x14ac:dyDescent="0.25">
      <c r="A25" t="s">
        <v>30</v>
      </c>
      <c r="B25" t="s">
        <v>469</v>
      </c>
    </row>
    <row r="26" spans="1:2" x14ac:dyDescent="0.25">
      <c r="A26" t="s">
        <v>31</v>
      </c>
      <c r="B26" t="s">
        <v>470</v>
      </c>
    </row>
    <row r="27" spans="1:2" x14ac:dyDescent="0.25">
      <c r="A27" t="s">
        <v>32</v>
      </c>
      <c r="B27" t="s">
        <v>471</v>
      </c>
    </row>
    <row r="28" spans="1:2" x14ac:dyDescent="0.25">
      <c r="A28" t="s">
        <v>32</v>
      </c>
      <c r="B28" t="s">
        <v>472</v>
      </c>
    </row>
    <row r="29" spans="1:2" x14ac:dyDescent="0.25">
      <c r="A29" t="s">
        <v>33</v>
      </c>
      <c r="B29" t="s">
        <v>473</v>
      </c>
    </row>
    <row r="30" spans="1:2" x14ac:dyDescent="0.25">
      <c r="A30" t="s">
        <v>35</v>
      </c>
      <c r="B30" t="s">
        <v>474</v>
      </c>
    </row>
    <row r="31" spans="1:2" x14ac:dyDescent="0.25">
      <c r="A31" t="s">
        <v>36</v>
      </c>
      <c r="B31" t="s">
        <v>475</v>
      </c>
    </row>
    <row r="32" spans="1:2" x14ac:dyDescent="0.25">
      <c r="A32" t="s">
        <v>37</v>
      </c>
      <c r="B32" t="s">
        <v>476</v>
      </c>
    </row>
    <row r="33" spans="1:2" x14ac:dyDescent="0.25">
      <c r="A33" t="s">
        <v>38</v>
      </c>
      <c r="B33" t="s">
        <v>477</v>
      </c>
    </row>
    <row r="34" spans="1:2" x14ac:dyDescent="0.25">
      <c r="A34" t="s">
        <v>38</v>
      </c>
      <c r="B34" t="s">
        <v>478</v>
      </c>
    </row>
    <row r="35" spans="1:2" x14ac:dyDescent="0.25">
      <c r="A35" t="s">
        <v>39</v>
      </c>
      <c r="B35" t="s">
        <v>479</v>
      </c>
    </row>
    <row r="36" spans="1:2" x14ac:dyDescent="0.25">
      <c r="A36" t="s">
        <v>40</v>
      </c>
      <c r="B36" t="s">
        <v>480</v>
      </c>
    </row>
    <row r="37" spans="1:2" x14ac:dyDescent="0.25">
      <c r="A37" t="s">
        <v>42</v>
      </c>
      <c r="B37" t="s">
        <v>481</v>
      </c>
    </row>
    <row r="38" spans="1:2" x14ac:dyDescent="0.25">
      <c r="A38" t="s">
        <v>43</v>
      </c>
      <c r="B38" t="s">
        <v>482</v>
      </c>
    </row>
    <row r="39" spans="1:2" x14ac:dyDescent="0.25">
      <c r="A39" t="s">
        <v>44</v>
      </c>
      <c r="B39" t="s">
        <v>483</v>
      </c>
    </row>
    <row r="40" spans="1:2" x14ac:dyDescent="0.25">
      <c r="A40" t="s">
        <v>45</v>
      </c>
      <c r="B40" t="s">
        <v>484</v>
      </c>
    </row>
    <row r="41" spans="1:2" x14ac:dyDescent="0.25">
      <c r="A41" t="s">
        <v>46</v>
      </c>
      <c r="B41" t="s">
        <v>485</v>
      </c>
    </row>
    <row r="42" spans="1:2" x14ac:dyDescent="0.25">
      <c r="A42" t="s">
        <v>47</v>
      </c>
      <c r="B42" t="s">
        <v>486</v>
      </c>
    </row>
    <row r="43" spans="1:2" x14ac:dyDescent="0.25">
      <c r="A43" t="s">
        <v>48</v>
      </c>
      <c r="B43" t="s">
        <v>487</v>
      </c>
    </row>
    <row r="44" spans="1:2" x14ac:dyDescent="0.25">
      <c r="A44" t="s">
        <v>50</v>
      </c>
      <c r="B44" t="s">
        <v>488</v>
      </c>
    </row>
    <row r="45" spans="1:2" x14ac:dyDescent="0.25">
      <c r="A45" t="s">
        <v>51</v>
      </c>
      <c r="B45" t="s">
        <v>489</v>
      </c>
    </row>
    <row r="46" spans="1:2" x14ac:dyDescent="0.25">
      <c r="A46" t="s">
        <v>52</v>
      </c>
      <c r="B46" t="s">
        <v>490</v>
      </c>
    </row>
    <row r="47" spans="1:2" x14ac:dyDescent="0.25">
      <c r="A47" t="s">
        <v>54</v>
      </c>
      <c r="B47" t="s">
        <v>491</v>
      </c>
    </row>
    <row r="48" spans="1:2" x14ac:dyDescent="0.25">
      <c r="A48" t="s">
        <v>55</v>
      </c>
      <c r="B48" t="s">
        <v>492</v>
      </c>
    </row>
    <row r="49" spans="1:2" x14ac:dyDescent="0.25">
      <c r="A49" t="s">
        <v>56</v>
      </c>
      <c r="B49" t="s">
        <v>493</v>
      </c>
    </row>
    <row r="50" spans="1:2" x14ac:dyDescent="0.25">
      <c r="A50" t="s">
        <v>495</v>
      </c>
      <c r="B50" t="s">
        <v>494</v>
      </c>
    </row>
    <row r="51" spans="1:2" x14ac:dyDescent="0.25">
      <c r="A51" t="s">
        <v>58</v>
      </c>
      <c r="B51" t="s">
        <v>496</v>
      </c>
    </row>
    <row r="52" spans="1:2" x14ac:dyDescent="0.25">
      <c r="A52" t="s">
        <v>59</v>
      </c>
      <c r="B52" t="s">
        <v>497</v>
      </c>
    </row>
    <row r="53" spans="1:2" x14ac:dyDescent="0.25">
      <c r="A53" t="s">
        <v>60</v>
      </c>
      <c r="B53" t="s">
        <v>498</v>
      </c>
    </row>
    <row r="54" spans="1:2" x14ac:dyDescent="0.25">
      <c r="A54" t="s">
        <v>61</v>
      </c>
      <c r="B54" t="s">
        <v>499</v>
      </c>
    </row>
    <row r="55" spans="1:2" x14ac:dyDescent="0.25">
      <c r="A55" t="s">
        <v>63</v>
      </c>
      <c r="B55" t="s">
        <v>500</v>
      </c>
    </row>
    <row r="56" spans="1:2" x14ac:dyDescent="0.25">
      <c r="A56" t="s">
        <v>64</v>
      </c>
      <c r="B56" t="s">
        <v>501</v>
      </c>
    </row>
    <row r="57" spans="1:2" x14ac:dyDescent="0.25">
      <c r="A57" t="s">
        <v>65</v>
      </c>
      <c r="B57" t="s">
        <v>502</v>
      </c>
    </row>
    <row r="58" spans="1:2" x14ac:dyDescent="0.25">
      <c r="A58" t="s">
        <v>66</v>
      </c>
      <c r="B58" t="s">
        <v>503</v>
      </c>
    </row>
    <row r="59" spans="1:2" x14ac:dyDescent="0.25">
      <c r="A59" t="s">
        <v>67</v>
      </c>
      <c r="B59" t="s">
        <v>504</v>
      </c>
    </row>
    <row r="60" spans="1:2" x14ac:dyDescent="0.25">
      <c r="A60" t="s">
        <v>68</v>
      </c>
      <c r="B60" t="s">
        <v>505</v>
      </c>
    </row>
    <row r="61" spans="1:2" x14ac:dyDescent="0.25">
      <c r="A61" t="s">
        <v>69</v>
      </c>
      <c r="B61" t="s">
        <v>506</v>
      </c>
    </row>
    <row r="62" spans="1:2" x14ac:dyDescent="0.25">
      <c r="A62" t="s">
        <v>70</v>
      </c>
      <c r="B62" t="s">
        <v>507</v>
      </c>
    </row>
    <row r="63" spans="1:2" x14ac:dyDescent="0.25">
      <c r="A63" t="s">
        <v>71</v>
      </c>
      <c r="B63" t="s">
        <v>508</v>
      </c>
    </row>
    <row r="64" spans="1:2" x14ac:dyDescent="0.25">
      <c r="A64" t="s">
        <v>72</v>
      </c>
      <c r="B64" t="s">
        <v>509</v>
      </c>
    </row>
    <row r="65" spans="1:2" x14ac:dyDescent="0.25">
      <c r="A65" t="s">
        <v>73</v>
      </c>
      <c r="B65" t="s">
        <v>510</v>
      </c>
    </row>
    <row r="66" spans="1:2" x14ac:dyDescent="0.25">
      <c r="A66" t="s">
        <v>75</v>
      </c>
      <c r="B66" t="s">
        <v>511</v>
      </c>
    </row>
    <row r="67" spans="1:2" x14ac:dyDescent="0.25">
      <c r="A67" t="s">
        <v>76</v>
      </c>
      <c r="B67" t="s">
        <v>512</v>
      </c>
    </row>
    <row r="68" spans="1:2" x14ac:dyDescent="0.25">
      <c r="A68" t="s">
        <v>78</v>
      </c>
      <c r="B68" t="s">
        <v>513</v>
      </c>
    </row>
    <row r="69" spans="1:2" x14ac:dyDescent="0.25">
      <c r="A69" t="s">
        <v>79</v>
      </c>
      <c r="B69" t="s">
        <v>514</v>
      </c>
    </row>
    <row r="70" spans="1:2" x14ac:dyDescent="0.25">
      <c r="A70" t="s">
        <v>79</v>
      </c>
      <c r="B70" t="s">
        <v>515</v>
      </c>
    </row>
    <row r="71" spans="1:2" x14ac:dyDescent="0.25">
      <c r="A71" t="s">
        <v>79</v>
      </c>
      <c r="B71" t="s">
        <v>516</v>
      </c>
    </row>
    <row r="72" spans="1:2" x14ac:dyDescent="0.25">
      <c r="A72" t="s">
        <v>80</v>
      </c>
      <c r="B72" t="s">
        <v>517</v>
      </c>
    </row>
    <row r="73" spans="1:2" x14ac:dyDescent="0.25">
      <c r="A73" t="s">
        <v>81</v>
      </c>
      <c r="B73" t="s">
        <v>518</v>
      </c>
    </row>
    <row r="74" spans="1:2" x14ac:dyDescent="0.25">
      <c r="A74" t="s">
        <v>82</v>
      </c>
      <c r="B74" t="s">
        <v>519</v>
      </c>
    </row>
    <row r="75" spans="1:2" x14ac:dyDescent="0.25">
      <c r="A75" t="s">
        <v>84</v>
      </c>
      <c r="B75" t="s">
        <v>520</v>
      </c>
    </row>
    <row r="76" spans="1:2" x14ac:dyDescent="0.25">
      <c r="A76" t="s">
        <v>86</v>
      </c>
      <c r="B76" t="s">
        <v>521</v>
      </c>
    </row>
    <row r="77" spans="1:2" x14ac:dyDescent="0.25">
      <c r="A77" t="s">
        <v>88</v>
      </c>
      <c r="B77" t="s">
        <v>522</v>
      </c>
    </row>
    <row r="78" spans="1:2" x14ac:dyDescent="0.25">
      <c r="A78" t="s">
        <v>89</v>
      </c>
      <c r="B78" t="s">
        <v>523</v>
      </c>
    </row>
    <row r="79" spans="1:2" x14ac:dyDescent="0.25">
      <c r="A79" t="s">
        <v>91</v>
      </c>
      <c r="B79" t="s">
        <v>524</v>
      </c>
    </row>
    <row r="80" spans="1:2" x14ac:dyDescent="0.25">
      <c r="A80" t="s">
        <v>92</v>
      </c>
      <c r="B80" t="s">
        <v>525</v>
      </c>
    </row>
    <row r="81" spans="1:2" x14ac:dyDescent="0.25">
      <c r="A81" t="s">
        <v>94</v>
      </c>
      <c r="B81" t="s">
        <v>526</v>
      </c>
    </row>
    <row r="82" spans="1:2" x14ac:dyDescent="0.25">
      <c r="A82" t="s">
        <v>95</v>
      </c>
      <c r="B82" t="s">
        <v>527</v>
      </c>
    </row>
    <row r="83" spans="1:2" x14ac:dyDescent="0.25">
      <c r="A83" t="s">
        <v>97</v>
      </c>
      <c r="B83" t="s">
        <v>528</v>
      </c>
    </row>
    <row r="84" spans="1:2" x14ac:dyDescent="0.25">
      <c r="A84" t="s">
        <v>444</v>
      </c>
      <c r="B84" t="s">
        <v>529</v>
      </c>
    </row>
    <row r="85" spans="1:2" x14ac:dyDescent="0.25">
      <c r="A85" t="s">
        <v>99</v>
      </c>
      <c r="B85" t="s">
        <v>530</v>
      </c>
    </row>
    <row r="86" spans="1:2" x14ac:dyDescent="0.25">
      <c r="A86" t="s">
        <v>443</v>
      </c>
      <c r="B86" t="s">
        <v>531</v>
      </c>
    </row>
    <row r="87" spans="1:2" x14ac:dyDescent="0.25">
      <c r="A87" t="s">
        <v>100</v>
      </c>
      <c r="B87" t="s">
        <v>532</v>
      </c>
    </row>
    <row r="88" spans="1:2" x14ac:dyDescent="0.25">
      <c r="A88" t="s">
        <v>101</v>
      </c>
      <c r="B88" t="s">
        <v>533</v>
      </c>
    </row>
    <row r="89" spans="1:2" x14ac:dyDescent="0.25">
      <c r="A89" t="s">
        <v>102</v>
      </c>
      <c r="B89" t="s">
        <v>534</v>
      </c>
    </row>
    <row r="90" spans="1:2" x14ac:dyDescent="0.25">
      <c r="A90" t="s">
        <v>103</v>
      </c>
      <c r="B90" t="s">
        <v>451</v>
      </c>
    </row>
    <row r="91" spans="1:2" x14ac:dyDescent="0.25">
      <c r="A91" t="s">
        <v>104</v>
      </c>
      <c r="B91" t="s">
        <v>535</v>
      </c>
    </row>
    <row r="92" spans="1:2" x14ac:dyDescent="0.25">
      <c r="A92" t="s">
        <v>392</v>
      </c>
      <c r="B92" t="s">
        <v>536</v>
      </c>
    </row>
    <row r="93" spans="1:2" x14ac:dyDescent="0.25">
      <c r="A93" t="s">
        <v>105</v>
      </c>
      <c r="B93" t="s">
        <v>537</v>
      </c>
    </row>
    <row r="94" spans="1:2" x14ac:dyDescent="0.25">
      <c r="A94" t="s">
        <v>106</v>
      </c>
      <c r="B94" t="s">
        <v>529</v>
      </c>
    </row>
    <row r="95" spans="1:2" x14ac:dyDescent="0.25">
      <c r="A95" t="s">
        <v>393</v>
      </c>
      <c r="B95" t="s">
        <v>538</v>
      </c>
    </row>
    <row r="96" spans="1:2" x14ac:dyDescent="0.25">
      <c r="A96" t="s">
        <v>394</v>
      </c>
      <c r="B96" t="s">
        <v>539</v>
      </c>
    </row>
    <row r="97" spans="1:2" x14ac:dyDescent="0.25">
      <c r="A97" t="s">
        <v>442</v>
      </c>
      <c r="B97" t="s">
        <v>540</v>
      </c>
    </row>
    <row r="98" spans="1:2" x14ac:dyDescent="0.25">
      <c r="A98" t="s">
        <v>442</v>
      </c>
      <c r="B98" t="s">
        <v>541</v>
      </c>
    </row>
    <row r="99" spans="1:2" x14ac:dyDescent="0.25">
      <c r="A99" t="s">
        <v>108</v>
      </c>
      <c r="B99" t="s">
        <v>542</v>
      </c>
    </row>
    <row r="100" spans="1:2" x14ac:dyDescent="0.25">
      <c r="A100" t="s">
        <v>109</v>
      </c>
      <c r="B100" t="s">
        <v>543</v>
      </c>
    </row>
    <row r="101" spans="1:2" x14ac:dyDescent="0.25">
      <c r="A101" t="s">
        <v>110</v>
      </c>
      <c r="B101" t="s">
        <v>544</v>
      </c>
    </row>
    <row r="102" spans="1:2" x14ac:dyDescent="0.25">
      <c r="A102" t="s">
        <v>111</v>
      </c>
      <c r="B102" t="s">
        <v>545</v>
      </c>
    </row>
    <row r="103" spans="1:2" x14ac:dyDescent="0.25">
      <c r="A103" t="s">
        <v>113</v>
      </c>
      <c r="B103" t="s">
        <v>546</v>
      </c>
    </row>
    <row r="104" spans="1:2" x14ac:dyDescent="0.25">
      <c r="A104" t="s">
        <v>395</v>
      </c>
      <c r="B104" t="s">
        <v>547</v>
      </c>
    </row>
    <row r="105" spans="1:2" x14ac:dyDescent="0.25">
      <c r="A105" t="s">
        <v>396</v>
      </c>
      <c r="B105" t="s">
        <v>548</v>
      </c>
    </row>
    <row r="106" spans="1:2" x14ac:dyDescent="0.25">
      <c r="A106" t="s">
        <v>115</v>
      </c>
      <c r="B106" t="s">
        <v>549</v>
      </c>
    </row>
    <row r="107" spans="1:2" x14ac:dyDescent="0.25">
      <c r="A107" t="s">
        <v>116</v>
      </c>
      <c r="B107" t="s">
        <v>550</v>
      </c>
    </row>
    <row r="108" spans="1:2" x14ac:dyDescent="0.25">
      <c r="A108" t="s">
        <v>441</v>
      </c>
      <c r="B108" t="s">
        <v>551</v>
      </c>
    </row>
    <row r="109" spans="1:2" x14ac:dyDescent="0.25">
      <c r="A109" t="s">
        <v>440</v>
      </c>
      <c r="B109" t="s">
        <v>552</v>
      </c>
    </row>
    <row r="110" spans="1:2" x14ac:dyDescent="0.25">
      <c r="A110" t="s">
        <v>439</v>
      </c>
      <c r="B110" t="s">
        <v>553</v>
      </c>
    </row>
    <row r="111" spans="1:2" x14ac:dyDescent="0.25">
      <c r="A111" t="s">
        <v>438</v>
      </c>
      <c r="B111" t="s">
        <v>554</v>
      </c>
    </row>
    <row r="112" spans="1:2" x14ac:dyDescent="0.25">
      <c r="A112" t="s">
        <v>438</v>
      </c>
      <c r="B112" t="s">
        <v>555</v>
      </c>
    </row>
    <row r="113" spans="1:2" x14ac:dyDescent="0.25">
      <c r="A113" t="s">
        <v>118</v>
      </c>
      <c r="B113" t="s">
        <v>556</v>
      </c>
    </row>
    <row r="114" spans="1:2" x14ac:dyDescent="0.25">
      <c r="A114" t="s">
        <v>119</v>
      </c>
      <c r="B114" t="s">
        <v>557</v>
      </c>
    </row>
    <row r="115" spans="1:2" x14ac:dyDescent="0.25">
      <c r="A115" t="s">
        <v>120</v>
      </c>
      <c r="B115" t="s">
        <v>558</v>
      </c>
    </row>
    <row r="116" spans="1:2" x14ac:dyDescent="0.25">
      <c r="A116" t="s">
        <v>121</v>
      </c>
      <c r="B116" t="s">
        <v>559</v>
      </c>
    </row>
    <row r="117" spans="1:2" x14ac:dyDescent="0.25">
      <c r="A117" t="s">
        <v>122</v>
      </c>
      <c r="B117" t="s">
        <v>560</v>
      </c>
    </row>
    <row r="118" spans="1:2" x14ac:dyDescent="0.25">
      <c r="A118" t="s">
        <v>123</v>
      </c>
      <c r="B118" t="s">
        <v>561</v>
      </c>
    </row>
    <row r="119" spans="1:2" x14ac:dyDescent="0.25">
      <c r="A119" t="s">
        <v>124</v>
      </c>
      <c r="B119" t="s">
        <v>562</v>
      </c>
    </row>
    <row r="120" spans="1:2" x14ac:dyDescent="0.25">
      <c r="A120" t="s">
        <v>125</v>
      </c>
      <c r="B120" t="s">
        <v>563</v>
      </c>
    </row>
    <row r="121" spans="1:2" x14ac:dyDescent="0.25">
      <c r="A121" t="s">
        <v>127</v>
      </c>
      <c r="B121" t="s">
        <v>564</v>
      </c>
    </row>
    <row r="122" spans="1:2" x14ac:dyDescent="0.25">
      <c r="A122" t="s">
        <v>129</v>
      </c>
      <c r="B122" t="s">
        <v>565</v>
      </c>
    </row>
    <row r="123" spans="1:2" x14ac:dyDescent="0.25">
      <c r="A123" t="s">
        <v>130</v>
      </c>
      <c r="B123" t="s">
        <v>566</v>
      </c>
    </row>
    <row r="124" spans="1:2" x14ac:dyDescent="0.25">
      <c r="A124" t="s">
        <v>131</v>
      </c>
      <c r="B124" t="s">
        <v>567</v>
      </c>
    </row>
    <row r="125" spans="1:2" x14ac:dyDescent="0.25">
      <c r="A125" t="s">
        <v>133</v>
      </c>
      <c r="B125" t="s">
        <v>568</v>
      </c>
    </row>
    <row r="126" spans="1:2" x14ac:dyDescent="0.25">
      <c r="A126" t="s">
        <v>397</v>
      </c>
      <c r="B126" t="s">
        <v>569</v>
      </c>
    </row>
    <row r="127" spans="1:2" x14ac:dyDescent="0.25">
      <c r="A127" t="s">
        <v>398</v>
      </c>
      <c r="B127" t="s">
        <v>570</v>
      </c>
    </row>
    <row r="128" spans="1:2" x14ac:dyDescent="0.25">
      <c r="A128" t="s">
        <v>135</v>
      </c>
      <c r="B128" t="s">
        <v>571</v>
      </c>
    </row>
    <row r="129" spans="1:2" x14ac:dyDescent="0.25">
      <c r="A129" t="s">
        <v>136</v>
      </c>
      <c r="B129" t="s">
        <v>572</v>
      </c>
    </row>
    <row r="130" spans="1:2" x14ac:dyDescent="0.25">
      <c r="A130" t="s">
        <v>137</v>
      </c>
      <c r="B130" t="s">
        <v>573</v>
      </c>
    </row>
    <row r="131" spans="1:2" x14ac:dyDescent="0.25">
      <c r="A131" t="s">
        <v>139</v>
      </c>
      <c r="B131" t="s">
        <v>574</v>
      </c>
    </row>
    <row r="132" spans="1:2" x14ac:dyDescent="0.25">
      <c r="A132" t="s">
        <v>141</v>
      </c>
      <c r="B132" t="s">
        <v>575</v>
      </c>
    </row>
    <row r="133" spans="1:2" x14ac:dyDescent="0.25">
      <c r="A133" t="s">
        <v>142</v>
      </c>
      <c r="B133" t="s">
        <v>576</v>
      </c>
    </row>
    <row r="134" spans="1:2" x14ac:dyDescent="0.25">
      <c r="A134" t="s">
        <v>143</v>
      </c>
      <c r="B134" t="s">
        <v>577</v>
      </c>
    </row>
    <row r="135" spans="1:2" x14ac:dyDescent="0.25">
      <c r="A135" t="s">
        <v>145</v>
      </c>
      <c r="B135" t="s">
        <v>578</v>
      </c>
    </row>
    <row r="136" spans="1:2" x14ac:dyDescent="0.25">
      <c r="A136" t="s">
        <v>146</v>
      </c>
      <c r="B136" t="s">
        <v>579</v>
      </c>
    </row>
    <row r="137" spans="1:2" x14ac:dyDescent="0.25">
      <c r="A137" t="s">
        <v>148</v>
      </c>
      <c r="B137" t="s">
        <v>580</v>
      </c>
    </row>
    <row r="138" spans="1:2" x14ac:dyDescent="0.25">
      <c r="A138" t="s">
        <v>149</v>
      </c>
      <c r="B138" t="s">
        <v>581</v>
      </c>
    </row>
    <row r="139" spans="1:2" x14ac:dyDescent="0.25">
      <c r="A139" t="s">
        <v>150</v>
      </c>
      <c r="B139" t="s">
        <v>582</v>
      </c>
    </row>
    <row r="140" spans="1:2" x14ac:dyDescent="0.25">
      <c r="A140" t="s">
        <v>399</v>
      </c>
      <c r="B140" t="s">
        <v>583</v>
      </c>
    </row>
    <row r="141" spans="1:2" x14ac:dyDescent="0.25">
      <c r="A141" t="s">
        <v>400</v>
      </c>
      <c r="B141" t="s">
        <v>584</v>
      </c>
    </row>
    <row r="142" spans="1:2" x14ac:dyDescent="0.25">
      <c r="A142" t="s">
        <v>400</v>
      </c>
      <c r="B142" t="s">
        <v>585</v>
      </c>
    </row>
    <row r="143" spans="1:2" x14ac:dyDescent="0.25">
      <c r="A143" t="s">
        <v>152</v>
      </c>
      <c r="B143" t="s">
        <v>586</v>
      </c>
    </row>
    <row r="144" spans="1:2" x14ac:dyDescent="0.25">
      <c r="A144" t="s">
        <v>153</v>
      </c>
      <c r="B144" t="s">
        <v>587</v>
      </c>
    </row>
    <row r="145" spans="1:2" x14ac:dyDescent="0.25">
      <c r="A145" t="s">
        <v>154</v>
      </c>
      <c r="B145" t="s">
        <v>588</v>
      </c>
    </row>
    <row r="146" spans="1:2" x14ac:dyDescent="0.25">
      <c r="A146" t="s">
        <v>156</v>
      </c>
      <c r="B146" t="s">
        <v>589</v>
      </c>
    </row>
    <row r="147" spans="1:2" x14ac:dyDescent="0.25">
      <c r="A147" t="s">
        <v>156</v>
      </c>
      <c r="B147" t="s">
        <v>590</v>
      </c>
    </row>
    <row r="148" spans="1:2" x14ac:dyDescent="0.25">
      <c r="A148" t="s">
        <v>157</v>
      </c>
      <c r="B148" t="s">
        <v>591</v>
      </c>
    </row>
    <row r="149" spans="1:2" x14ac:dyDescent="0.25">
      <c r="A149" t="s">
        <v>159</v>
      </c>
      <c r="B149" t="s">
        <v>592</v>
      </c>
    </row>
    <row r="150" spans="1:2" x14ac:dyDescent="0.25">
      <c r="A150" t="s">
        <v>160</v>
      </c>
      <c r="B150" t="s">
        <v>593</v>
      </c>
    </row>
    <row r="151" spans="1:2" x14ac:dyDescent="0.25">
      <c r="A151" t="s">
        <v>161</v>
      </c>
      <c r="B151" t="s">
        <v>594</v>
      </c>
    </row>
    <row r="152" spans="1:2" x14ac:dyDescent="0.25">
      <c r="A152" t="s">
        <v>162</v>
      </c>
      <c r="B152" t="s">
        <v>595</v>
      </c>
    </row>
    <row r="153" spans="1:2" x14ac:dyDescent="0.25">
      <c r="A153" t="s">
        <v>163</v>
      </c>
      <c r="B153" t="s">
        <v>596</v>
      </c>
    </row>
    <row r="154" spans="1:2" x14ac:dyDescent="0.25">
      <c r="A154" t="s">
        <v>164</v>
      </c>
      <c r="B154" t="s">
        <v>451</v>
      </c>
    </row>
    <row r="155" spans="1:2" x14ac:dyDescent="0.25">
      <c r="A155" t="s">
        <v>165</v>
      </c>
      <c r="B155" t="s">
        <v>597</v>
      </c>
    </row>
    <row r="156" spans="1:2" x14ac:dyDescent="0.25">
      <c r="A156" t="s">
        <v>167</v>
      </c>
      <c r="B156" t="s">
        <v>598</v>
      </c>
    </row>
    <row r="157" spans="1:2" x14ac:dyDescent="0.25">
      <c r="A157" t="s">
        <v>401</v>
      </c>
      <c r="B157" t="s">
        <v>599</v>
      </c>
    </row>
    <row r="158" spans="1:2" x14ac:dyDescent="0.25">
      <c r="A158" t="s">
        <v>168</v>
      </c>
      <c r="B158" t="s">
        <v>600</v>
      </c>
    </row>
    <row r="159" spans="1:2" x14ac:dyDescent="0.25">
      <c r="A159" t="s">
        <v>170</v>
      </c>
      <c r="B159" t="s">
        <v>601</v>
      </c>
    </row>
    <row r="160" spans="1:2" x14ac:dyDescent="0.25">
      <c r="A160" t="s">
        <v>170</v>
      </c>
      <c r="B160" t="s">
        <v>602</v>
      </c>
    </row>
    <row r="161" spans="1:2" x14ac:dyDescent="0.25">
      <c r="A161" t="s">
        <v>402</v>
      </c>
      <c r="B161" t="s">
        <v>603</v>
      </c>
    </row>
    <row r="162" spans="1:2" x14ac:dyDescent="0.25">
      <c r="A162" t="s">
        <v>171</v>
      </c>
      <c r="B162" t="s">
        <v>604</v>
      </c>
    </row>
    <row r="163" spans="1:2" x14ac:dyDescent="0.25">
      <c r="A163" t="s">
        <v>172</v>
      </c>
      <c r="B163" t="s">
        <v>605</v>
      </c>
    </row>
    <row r="164" spans="1:2" x14ac:dyDescent="0.25">
      <c r="A164" t="s">
        <v>173</v>
      </c>
      <c r="B164" t="s">
        <v>606</v>
      </c>
    </row>
    <row r="165" spans="1:2" x14ac:dyDescent="0.25">
      <c r="A165" t="s">
        <v>403</v>
      </c>
      <c r="B165" t="s">
        <v>607</v>
      </c>
    </row>
    <row r="166" spans="1:2" x14ac:dyDescent="0.25">
      <c r="A166" t="s">
        <v>175</v>
      </c>
      <c r="B166" t="s">
        <v>608</v>
      </c>
    </row>
    <row r="167" spans="1:2" x14ac:dyDescent="0.25">
      <c r="A167" t="s">
        <v>176</v>
      </c>
      <c r="B167" t="s">
        <v>609</v>
      </c>
    </row>
    <row r="168" spans="1:2" x14ac:dyDescent="0.25">
      <c r="A168" t="s">
        <v>178</v>
      </c>
      <c r="B168" t="s">
        <v>610</v>
      </c>
    </row>
    <row r="169" spans="1:2" x14ac:dyDescent="0.25">
      <c r="A169" t="s">
        <v>179</v>
      </c>
      <c r="B169" t="s">
        <v>611</v>
      </c>
    </row>
    <row r="170" spans="1:2" x14ac:dyDescent="0.25">
      <c r="A170" t="s">
        <v>181</v>
      </c>
      <c r="B170" t="s">
        <v>612</v>
      </c>
    </row>
    <row r="171" spans="1:2" x14ac:dyDescent="0.25">
      <c r="A171" t="s">
        <v>182</v>
      </c>
      <c r="B171" t="s">
        <v>613</v>
      </c>
    </row>
    <row r="172" spans="1:2" x14ac:dyDescent="0.25">
      <c r="A172" t="s">
        <v>184</v>
      </c>
      <c r="B172" t="s">
        <v>614</v>
      </c>
    </row>
    <row r="173" spans="1:2" x14ac:dyDescent="0.25">
      <c r="A173" t="s">
        <v>185</v>
      </c>
      <c r="B173" t="s">
        <v>615</v>
      </c>
    </row>
    <row r="174" spans="1:2" x14ac:dyDescent="0.25">
      <c r="A174" t="s">
        <v>186</v>
      </c>
      <c r="B174" t="s">
        <v>616</v>
      </c>
    </row>
    <row r="175" spans="1:2" x14ac:dyDescent="0.25">
      <c r="A175" t="s">
        <v>188</v>
      </c>
      <c r="B175" t="s">
        <v>617</v>
      </c>
    </row>
    <row r="176" spans="1:2" x14ac:dyDescent="0.25">
      <c r="A176" t="s">
        <v>189</v>
      </c>
      <c r="B176" t="s">
        <v>618</v>
      </c>
    </row>
    <row r="177" spans="1:2" x14ac:dyDescent="0.25">
      <c r="A177" t="s">
        <v>190</v>
      </c>
      <c r="B177" t="s">
        <v>619</v>
      </c>
    </row>
    <row r="178" spans="1:2" x14ac:dyDescent="0.25">
      <c r="A178" t="s">
        <v>404</v>
      </c>
      <c r="B178" t="s">
        <v>620</v>
      </c>
    </row>
    <row r="179" spans="1:2" x14ac:dyDescent="0.25">
      <c r="A179" t="s">
        <v>192</v>
      </c>
      <c r="B179" t="s">
        <v>621</v>
      </c>
    </row>
    <row r="180" spans="1:2" x14ac:dyDescent="0.25">
      <c r="A180" t="s">
        <v>193</v>
      </c>
      <c r="B180" t="s">
        <v>622</v>
      </c>
    </row>
    <row r="181" spans="1:2" x14ac:dyDescent="0.25">
      <c r="A181" t="s">
        <v>195</v>
      </c>
      <c r="B181" t="s">
        <v>623</v>
      </c>
    </row>
    <row r="182" spans="1:2" x14ac:dyDescent="0.25">
      <c r="A182" t="s">
        <v>196</v>
      </c>
      <c r="B182" t="s">
        <v>624</v>
      </c>
    </row>
    <row r="183" spans="1:2" x14ac:dyDescent="0.25">
      <c r="A183" t="s">
        <v>196</v>
      </c>
      <c r="B183" t="s">
        <v>625</v>
      </c>
    </row>
    <row r="184" spans="1:2" x14ac:dyDescent="0.25">
      <c r="A184" t="s">
        <v>197</v>
      </c>
      <c r="B184" t="s">
        <v>626</v>
      </c>
    </row>
    <row r="185" spans="1:2" x14ac:dyDescent="0.25">
      <c r="A185" t="s">
        <v>199</v>
      </c>
      <c r="B185" t="s">
        <v>627</v>
      </c>
    </row>
    <row r="186" spans="1:2" x14ac:dyDescent="0.25">
      <c r="A186" t="s">
        <v>199</v>
      </c>
      <c r="B186" t="s">
        <v>628</v>
      </c>
    </row>
    <row r="187" spans="1:2" x14ac:dyDescent="0.25">
      <c r="A187" t="s">
        <v>201</v>
      </c>
      <c r="B187" t="s">
        <v>629</v>
      </c>
    </row>
    <row r="188" spans="1:2" x14ac:dyDescent="0.25">
      <c r="A188" t="s">
        <v>201</v>
      </c>
      <c r="B188" t="s">
        <v>630</v>
      </c>
    </row>
    <row r="189" spans="1:2" x14ac:dyDescent="0.25">
      <c r="A189" t="s">
        <v>203</v>
      </c>
      <c r="B189" t="s">
        <v>631</v>
      </c>
    </row>
    <row r="190" spans="1:2" x14ac:dyDescent="0.25">
      <c r="A190" t="s">
        <v>204</v>
      </c>
      <c r="B190" t="s">
        <v>632</v>
      </c>
    </row>
    <row r="191" spans="1:2" x14ac:dyDescent="0.25">
      <c r="A191" t="s">
        <v>204</v>
      </c>
      <c r="B191" t="s">
        <v>633</v>
      </c>
    </row>
    <row r="192" spans="1:2" x14ac:dyDescent="0.25">
      <c r="A192" t="s">
        <v>205</v>
      </c>
      <c r="B192" t="s">
        <v>634</v>
      </c>
    </row>
    <row r="193" spans="1:2" x14ac:dyDescent="0.25">
      <c r="A193" t="s">
        <v>206</v>
      </c>
      <c r="B193" t="s">
        <v>635</v>
      </c>
    </row>
    <row r="194" spans="1:2" x14ac:dyDescent="0.25">
      <c r="A194" t="s">
        <v>207</v>
      </c>
      <c r="B194" t="s">
        <v>636</v>
      </c>
    </row>
    <row r="195" spans="1:2" x14ac:dyDescent="0.25">
      <c r="A195" t="s">
        <v>405</v>
      </c>
      <c r="B195" t="s">
        <v>637</v>
      </c>
    </row>
    <row r="196" spans="1:2" x14ac:dyDescent="0.25">
      <c r="A196" t="s">
        <v>406</v>
      </c>
      <c r="B196" t="s">
        <v>638</v>
      </c>
    </row>
    <row r="197" spans="1:2" x14ac:dyDescent="0.25">
      <c r="A197" t="s">
        <v>209</v>
      </c>
      <c r="B197" t="s">
        <v>639</v>
      </c>
    </row>
    <row r="198" spans="1:2" x14ac:dyDescent="0.25">
      <c r="A198" t="s">
        <v>211</v>
      </c>
      <c r="B198" t="s">
        <v>640</v>
      </c>
    </row>
    <row r="199" spans="1:2" x14ac:dyDescent="0.25">
      <c r="A199" t="s">
        <v>211</v>
      </c>
      <c r="B199" t="s">
        <v>641</v>
      </c>
    </row>
    <row r="200" spans="1:2" x14ac:dyDescent="0.25">
      <c r="A200" t="s">
        <v>212</v>
      </c>
      <c r="B200" t="s">
        <v>642</v>
      </c>
    </row>
    <row r="201" spans="1:2" x14ac:dyDescent="0.25">
      <c r="A201" t="s">
        <v>213</v>
      </c>
      <c r="B201" t="s">
        <v>643</v>
      </c>
    </row>
    <row r="202" spans="1:2" x14ac:dyDescent="0.25">
      <c r="A202" t="s">
        <v>214</v>
      </c>
      <c r="B202" t="s">
        <v>644</v>
      </c>
    </row>
    <row r="203" spans="1:2" x14ac:dyDescent="0.25">
      <c r="A203" t="s">
        <v>216</v>
      </c>
      <c r="B203" t="s">
        <v>645</v>
      </c>
    </row>
    <row r="204" spans="1:2" x14ac:dyDescent="0.25">
      <c r="A204" t="s">
        <v>218</v>
      </c>
      <c r="B204" t="s">
        <v>646</v>
      </c>
    </row>
    <row r="205" spans="1:2" x14ac:dyDescent="0.25">
      <c r="A205" t="s">
        <v>219</v>
      </c>
      <c r="B205" t="s">
        <v>647</v>
      </c>
    </row>
    <row r="206" spans="1:2" x14ac:dyDescent="0.25">
      <c r="A206" t="s">
        <v>219</v>
      </c>
      <c r="B206" t="s">
        <v>648</v>
      </c>
    </row>
    <row r="207" spans="1:2" x14ac:dyDescent="0.25">
      <c r="A207" t="s">
        <v>220</v>
      </c>
      <c r="B207" t="s">
        <v>649</v>
      </c>
    </row>
    <row r="208" spans="1:2" x14ac:dyDescent="0.25">
      <c r="A208" t="s">
        <v>221</v>
      </c>
      <c r="B208" t="s">
        <v>650</v>
      </c>
    </row>
    <row r="209" spans="1:2" x14ac:dyDescent="0.25">
      <c r="A209" t="s">
        <v>221</v>
      </c>
      <c r="B209" t="s">
        <v>651</v>
      </c>
    </row>
    <row r="210" spans="1:2" x14ac:dyDescent="0.25">
      <c r="A210" t="s">
        <v>223</v>
      </c>
      <c r="B210" t="s">
        <v>652</v>
      </c>
    </row>
    <row r="211" spans="1:2" x14ac:dyDescent="0.25">
      <c r="A211" t="s">
        <v>225</v>
      </c>
      <c r="B211" t="s">
        <v>653</v>
      </c>
    </row>
    <row r="212" spans="1:2" x14ac:dyDescent="0.25">
      <c r="A212" t="s">
        <v>225</v>
      </c>
      <c r="B212" t="s">
        <v>654</v>
      </c>
    </row>
    <row r="213" spans="1:2" x14ac:dyDescent="0.25">
      <c r="A213" t="s">
        <v>227</v>
      </c>
      <c r="B213" t="s">
        <v>655</v>
      </c>
    </row>
    <row r="214" spans="1:2" x14ac:dyDescent="0.25">
      <c r="A214" t="s">
        <v>228</v>
      </c>
      <c r="B214" t="s">
        <v>656</v>
      </c>
    </row>
    <row r="215" spans="1:2" x14ac:dyDescent="0.25">
      <c r="A215" t="s">
        <v>229</v>
      </c>
      <c r="B215" t="s">
        <v>657</v>
      </c>
    </row>
    <row r="216" spans="1:2" x14ac:dyDescent="0.25">
      <c r="A216" t="s">
        <v>231</v>
      </c>
      <c r="B216" t="s">
        <v>658</v>
      </c>
    </row>
    <row r="217" spans="1:2" x14ac:dyDescent="0.25">
      <c r="A217" t="s">
        <v>233</v>
      </c>
      <c r="B217" t="s">
        <v>659</v>
      </c>
    </row>
    <row r="218" spans="1:2" x14ac:dyDescent="0.25">
      <c r="A218" t="s">
        <v>234</v>
      </c>
      <c r="B218" t="s">
        <v>660</v>
      </c>
    </row>
    <row r="219" spans="1:2" x14ac:dyDescent="0.25">
      <c r="A219" t="s">
        <v>235</v>
      </c>
      <c r="B219" t="s">
        <v>661</v>
      </c>
    </row>
    <row r="220" spans="1:2" x14ac:dyDescent="0.25">
      <c r="A220" t="s">
        <v>236</v>
      </c>
      <c r="B220" t="s">
        <v>662</v>
      </c>
    </row>
    <row r="221" spans="1:2" x14ac:dyDescent="0.25">
      <c r="A221" t="s">
        <v>237</v>
      </c>
      <c r="B221" t="s">
        <v>663</v>
      </c>
    </row>
    <row r="222" spans="1:2" x14ac:dyDescent="0.25">
      <c r="A222" t="s">
        <v>238</v>
      </c>
      <c r="B222" t="s">
        <v>664</v>
      </c>
    </row>
    <row r="223" spans="1:2" x14ac:dyDescent="0.25">
      <c r="A223" t="s">
        <v>240</v>
      </c>
      <c r="B223" t="s">
        <v>665</v>
      </c>
    </row>
    <row r="224" spans="1:2" x14ac:dyDescent="0.25">
      <c r="A224" t="s">
        <v>241</v>
      </c>
      <c r="B224" t="s">
        <v>666</v>
      </c>
    </row>
    <row r="225" spans="1:2" x14ac:dyDescent="0.25">
      <c r="A225" t="s">
        <v>242</v>
      </c>
      <c r="B225" t="s">
        <v>667</v>
      </c>
    </row>
    <row r="226" spans="1:2" x14ac:dyDescent="0.25">
      <c r="A226" t="s">
        <v>243</v>
      </c>
      <c r="B226" t="s">
        <v>668</v>
      </c>
    </row>
    <row r="227" spans="1:2" x14ac:dyDescent="0.25">
      <c r="A227" t="s">
        <v>245</v>
      </c>
      <c r="B227" t="s">
        <v>669</v>
      </c>
    </row>
    <row r="228" spans="1:2" x14ac:dyDescent="0.25">
      <c r="A228" t="s">
        <v>246</v>
      </c>
      <c r="B228" t="s">
        <v>670</v>
      </c>
    </row>
    <row r="229" spans="1:2" x14ac:dyDescent="0.25">
      <c r="A229" t="s">
        <v>247</v>
      </c>
      <c r="B229" t="s">
        <v>671</v>
      </c>
    </row>
    <row r="230" spans="1:2" x14ac:dyDescent="0.25">
      <c r="A230" t="s">
        <v>407</v>
      </c>
      <c r="B230" t="s">
        <v>672</v>
      </c>
    </row>
    <row r="231" spans="1:2" x14ac:dyDescent="0.25">
      <c r="A231" t="s">
        <v>249</v>
      </c>
      <c r="B231" t="s">
        <v>673</v>
      </c>
    </row>
    <row r="232" spans="1:2" x14ac:dyDescent="0.25">
      <c r="A232" t="s">
        <v>408</v>
      </c>
      <c r="B232" t="s">
        <v>674</v>
      </c>
    </row>
    <row r="233" spans="1:2" x14ac:dyDescent="0.25">
      <c r="A233" t="s">
        <v>408</v>
      </c>
      <c r="B233" t="s">
        <v>675</v>
      </c>
    </row>
    <row r="234" spans="1:2" x14ac:dyDescent="0.25">
      <c r="A234" t="s">
        <v>251</v>
      </c>
      <c r="B234" t="s">
        <v>676</v>
      </c>
    </row>
    <row r="235" spans="1:2" x14ac:dyDescent="0.25">
      <c r="A235" t="s">
        <v>252</v>
      </c>
      <c r="B235" t="s">
        <v>677</v>
      </c>
    </row>
    <row r="236" spans="1:2" x14ac:dyDescent="0.25">
      <c r="A236" t="s">
        <v>253</v>
      </c>
      <c r="B236" t="s">
        <v>678</v>
      </c>
    </row>
    <row r="237" spans="1:2" x14ac:dyDescent="0.25">
      <c r="A237" t="s">
        <v>255</v>
      </c>
      <c r="B237" t="s">
        <v>679</v>
      </c>
    </row>
    <row r="238" spans="1:2" x14ac:dyDescent="0.25">
      <c r="A238" t="s">
        <v>256</v>
      </c>
      <c r="B238" t="s">
        <v>680</v>
      </c>
    </row>
    <row r="239" spans="1:2" x14ac:dyDescent="0.25">
      <c r="A239" t="s">
        <v>257</v>
      </c>
      <c r="B239" t="s">
        <v>681</v>
      </c>
    </row>
    <row r="240" spans="1:2" x14ac:dyDescent="0.25">
      <c r="A240" t="s">
        <v>259</v>
      </c>
      <c r="B240" t="s">
        <v>682</v>
      </c>
    </row>
    <row r="241" spans="1:2" x14ac:dyDescent="0.25">
      <c r="A241" t="s">
        <v>260</v>
      </c>
      <c r="B241" t="s">
        <v>683</v>
      </c>
    </row>
    <row r="242" spans="1:2" x14ac:dyDescent="0.25">
      <c r="A242" t="s">
        <v>260</v>
      </c>
      <c r="B242" t="s">
        <v>684</v>
      </c>
    </row>
    <row r="243" spans="1:2" x14ac:dyDescent="0.25">
      <c r="A243" t="s">
        <v>261</v>
      </c>
      <c r="B243" t="s">
        <v>685</v>
      </c>
    </row>
    <row r="244" spans="1:2" x14ac:dyDescent="0.25">
      <c r="A244" t="s">
        <v>262</v>
      </c>
      <c r="B244" t="s">
        <v>686</v>
      </c>
    </row>
    <row r="245" spans="1:2" x14ac:dyDescent="0.25">
      <c r="A245" t="s">
        <v>409</v>
      </c>
      <c r="B245" t="s">
        <v>687</v>
      </c>
    </row>
    <row r="246" spans="1:2" x14ac:dyDescent="0.25">
      <c r="A246" t="s">
        <v>263</v>
      </c>
      <c r="B246" t="s">
        <v>688</v>
      </c>
    </row>
    <row r="247" spans="1:2" x14ac:dyDescent="0.25">
      <c r="A247" t="s">
        <v>263</v>
      </c>
      <c r="B247" t="s">
        <v>689</v>
      </c>
    </row>
    <row r="248" spans="1:2" x14ac:dyDescent="0.25">
      <c r="A248" t="s">
        <v>264</v>
      </c>
      <c r="B248" t="s">
        <v>690</v>
      </c>
    </row>
    <row r="249" spans="1:2" x14ac:dyDescent="0.25">
      <c r="A249" t="s">
        <v>266</v>
      </c>
      <c r="B249" t="s">
        <v>691</v>
      </c>
    </row>
    <row r="250" spans="1:2" x14ac:dyDescent="0.25">
      <c r="A250" t="s">
        <v>267</v>
      </c>
      <c r="B250" t="s">
        <v>692</v>
      </c>
    </row>
    <row r="251" spans="1:2" x14ac:dyDescent="0.25">
      <c r="A251" t="s">
        <v>268</v>
      </c>
      <c r="B251" t="s">
        <v>693</v>
      </c>
    </row>
    <row r="252" spans="1:2" x14ac:dyDescent="0.25">
      <c r="A252" t="s">
        <v>269</v>
      </c>
      <c r="B252" t="s">
        <v>694</v>
      </c>
    </row>
    <row r="253" spans="1:2" x14ac:dyDescent="0.25">
      <c r="A253" t="s">
        <v>271</v>
      </c>
      <c r="B253" t="s">
        <v>695</v>
      </c>
    </row>
    <row r="254" spans="1:2" x14ac:dyDescent="0.25">
      <c r="A254" t="s">
        <v>273</v>
      </c>
      <c r="B254" t="s">
        <v>696</v>
      </c>
    </row>
    <row r="255" spans="1:2" x14ac:dyDescent="0.25">
      <c r="A255" t="s">
        <v>274</v>
      </c>
      <c r="B255" t="s">
        <v>697</v>
      </c>
    </row>
    <row r="256" spans="1:2" x14ac:dyDescent="0.25">
      <c r="A256" t="s">
        <v>275</v>
      </c>
      <c r="B256" t="s">
        <v>698</v>
      </c>
    </row>
    <row r="257" spans="1:2" x14ac:dyDescent="0.25">
      <c r="A257" t="s">
        <v>277</v>
      </c>
      <c r="B257" t="s">
        <v>699</v>
      </c>
    </row>
    <row r="258" spans="1:2" x14ac:dyDescent="0.25">
      <c r="A258" t="s">
        <v>410</v>
      </c>
      <c r="B258" t="s">
        <v>700</v>
      </c>
    </row>
    <row r="259" spans="1:2" x14ac:dyDescent="0.25">
      <c r="A259" t="s">
        <v>279</v>
      </c>
      <c r="B259" t="s">
        <v>701</v>
      </c>
    </row>
    <row r="260" spans="1:2" x14ac:dyDescent="0.25">
      <c r="A260" t="s">
        <v>280</v>
      </c>
      <c r="B260" t="s">
        <v>702</v>
      </c>
    </row>
    <row r="261" spans="1:2" x14ac:dyDescent="0.25">
      <c r="A261" t="s">
        <v>281</v>
      </c>
      <c r="B261" t="s">
        <v>703</v>
      </c>
    </row>
    <row r="262" spans="1:2" x14ac:dyDescent="0.25">
      <c r="A262" t="s">
        <v>282</v>
      </c>
      <c r="B262" t="s">
        <v>704</v>
      </c>
    </row>
    <row r="263" spans="1:2" x14ac:dyDescent="0.25">
      <c r="A263" t="s">
        <v>283</v>
      </c>
      <c r="B263" t="s">
        <v>705</v>
      </c>
    </row>
    <row r="264" spans="1:2" x14ac:dyDescent="0.25">
      <c r="A264" t="s">
        <v>436</v>
      </c>
      <c r="B264" t="s">
        <v>706</v>
      </c>
    </row>
    <row r="265" spans="1:2" x14ac:dyDescent="0.25">
      <c r="A265" t="s">
        <v>284</v>
      </c>
      <c r="B265" t="s">
        <v>707</v>
      </c>
    </row>
    <row r="266" spans="1:2" x14ac:dyDescent="0.25">
      <c r="A266" t="s">
        <v>435</v>
      </c>
      <c r="B266" t="s">
        <v>708</v>
      </c>
    </row>
    <row r="267" spans="1:2" x14ac:dyDescent="0.25">
      <c r="A267" t="s">
        <v>286</v>
      </c>
      <c r="B267" t="s">
        <v>709</v>
      </c>
    </row>
    <row r="268" spans="1:2" x14ac:dyDescent="0.25">
      <c r="A268" t="s">
        <v>288</v>
      </c>
      <c r="B268" t="s">
        <v>710</v>
      </c>
    </row>
    <row r="269" spans="1:2" x14ac:dyDescent="0.25">
      <c r="A269" t="s">
        <v>290</v>
      </c>
      <c r="B269" t="s">
        <v>711</v>
      </c>
    </row>
    <row r="270" spans="1:2" x14ac:dyDescent="0.25">
      <c r="A270" t="s">
        <v>292</v>
      </c>
      <c r="B270" t="s">
        <v>712</v>
      </c>
    </row>
    <row r="271" spans="1:2" x14ac:dyDescent="0.25">
      <c r="A271" t="s">
        <v>294</v>
      </c>
      <c r="B271" t="s">
        <v>713</v>
      </c>
    </row>
    <row r="272" spans="1:2" x14ac:dyDescent="0.25">
      <c r="A272" t="s">
        <v>296</v>
      </c>
      <c r="B272" t="s">
        <v>714</v>
      </c>
    </row>
    <row r="273" spans="1:2" x14ac:dyDescent="0.25">
      <c r="A273" t="s">
        <v>297</v>
      </c>
      <c r="B273" t="s">
        <v>715</v>
      </c>
    </row>
    <row r="274" spans="1:2" x14ac:dyDescent="0.25">
      <c r="A274" t="s">
        <v>298</v>
      </c>
      <c r="B274" t="s">
        <v>716</v>
      </c>
    </row>
    <row r="275" spans="1:2" x14ac:dyDescent="0.25">
      <c r="A275" t="s">
        <v>299</v>
      </c>
      <c r="B275" t="s">
        <v>717</v>
      </c>
    </row>
    <row r="276" spans="1:2" x14ac:dyDescent="0.25">
      <c r="A276" t="s">
        <v>300</v>
      </c>
      <c r="B276" t="s">
        <v>718</v>
      </c>
    </row>
    <row r="277" spans="1:2" x14ac:dyDescent="0.25">
      <c r="A277" t="s">
        <v>302</v>
      </c>
      <c r="B277" t="s">
        <v>719</v>
      </c>
    </row>
    <row r="278" spans="1:2" x14ac:dyDescent="0.25">
      <c r="A278" t="s">
        <v>304</v>
      </c>
      <c r="B278" t="s">
        <v>720</v>
      </c>
    </row>
    <row r="279" spans="1:2" x14ac:dyDescent="0.25">
      <c r="A279" t="s">
        <v>306</v>
      </c>
      <c r="B279" t="s">
        <v>721</v>
      </c>
    </row>
    <row r="280" spans="1:2" x14ac:dyDescent="0.25">
      <c r="A280" t="s">
        <v>307</v>
      </c>
      <c r="B280" t="s">
        <v>722</v>
      </c>
    </row>
    <row r="281" spans="1:2" x14ac:dyDescent="0.25">
      <c r="A281" t="s">
        <v>309</v>
      </c>
      <c r="B281" t="s">
        <v>723</v>
      </c>
    </row>
    <row r="282" spans="1:2" x14ac:dyDescent="0.25">
      <c r="A282" t="s">
        <v>309</v>
      </c>
      <c r="B282" t="s">
        <v>724</v>
      </c>
    </row>
    <row r="283" spans="1:2" x14ac:dyDescent="0.25">
      <c r="A283" t="s">
        <v>310</v>
      </c>
      <c r="B283" t="s">
        <v>725</v>
      </c>
    </row>
    <row r="284" spans="1:2" x14ac:dyDescent="0.25">
      <c r="A284" t="s">
        <v>311</v>
      </c>
      <c r="B284" t="s">
        <v>726</v>
      </c>
    </row>
    <row r="285" spans="1:2" x14ac:dyDescent="0.25">
      <c r="A285" t="s">
        <v>312</v>
      </c>
      <c r="B285" t="s">
        <v>727</v>
      </c>
    </row>
    <row r="286" spans="1:2" x14ac:dyDescent="0.25">
      <c r="A286" t="s">
        <v>312</v>
      </c>
      <c r="B286" t="s">
        <v>728</v>
      </c>
    </row>
    <row r="287" spans="1:2" x14ac:dyDescent="0.25">
      <c r="A287" t="s">
        <v>313</v>
      </c>
      <c r="B287" t="s">
        <v>729</v>
      </c>
    </row>
    <row r="288" spans="1:2" x14ac:dyDescent="0.25">
      <c r="A288" t="s">
        <v>314</v>
      </c>
      <c r="B288" t="s">
        <v>730</v>
      </c>
    </row>
    <row r="289" spans="1:2" x14ac:dyDescent="0.25">
      <c r="A289" t="s">
        <v>314</v>
      </c>
      <c r="B289" t="s">
        <v>731</v>
      </c>
    </row>
    <row r="290" spans="1:2" x14ac:dyDescent="0.25">
      <c r="A290" t="s">
        <v>315</v>
      </c>
      <c r="B290" t="s">
        <v>732</v>
      </c>
    </row>
    <row r="291" spans="1:2" x14ac:dyDescent="0.25">
      <c r="A291" t="s">
        <v>316</v>
      </c>
      <c r="B291" t="s">
        <v>733</v>
      </c>
    </row>
    <row r="292" spans="1:2" x14ac:dyDescent="0.25">
      <c r="A292" t="s">
        <v>317</v>
      </c>
      <c r="B292" t="s">
        <v>734</v>
      </c>
    </row>
    <row r="293" spans="1:2" x14ac:dyDescent="0.25">
      <c r="A293" t="s">
        <v>434</v>
      </c>
      <c r="B293" t="s">
        <v>735</v>
      </c>
    </row>
    <row r="294" spans="1:2" x14ac:dyDescent="0.25">
      <c r="A294" t="s">
        <v>434</v>
      </c>
      <c r="B294" t="s">
        <v>736</v>
      </c>
    </row>
    <row r="295" spans="1:2" x14ac:dyDescent="0.25">
      <c r="A295" t="s">
        <v>318</v>
      </c>
      <c r="B295" t="s">
        <v>737</v>
      </c>
    </row>
    <row r="296" spans="1:2" x14ac:dyDescent="0.25">
      <c r="A296" t="s">
        <v>319</v>
      </c>
      <c r="B296" t="s">
        <v>738</v>
      </c>
    </row>
    <row r="297" spans="1:2" x14ac:dyDescent="0.25">
      <c r="A297" t="s">
        <v>320</v>
      </c>
      <c r="B297" t="s">
        <v>739</v>
      </c>
    </row>
    <row r="298" spans="1:2" x14ac:dyDescent="0.25">
      <c r="A298" t="s">
        <v>322</v>
      </c>
      <c r="B298" t="s">
        <v>740</v>
      </c>
    </row>
    <row r="299" spans="1:2" x14ac:dyDescent="0.25">
      <c r="A299" t="s">
        <v>323</v>
      </c>
      <c r="B299" t="s">
        <v>741</v>
      </c>
    </row>
    <row r="300" spans="1:2" x14ac:dyDescent="0.25">
      <c r="A300" t="s">
        <v>325</v>
      </c>
      <c r="B300" t="s">
        <v>451</v>
      </c>
    </row>
    <row r="301" spans="1:2" x14ac:dyDescent="0.25">
      <c r="A301" t="s">
        <v>326</v>
      </c>
      <c r="B301" t="s">
        <v>742</v>
      </c>
    </row>
    <row r="302" spans="1:2" x14ac:dyDescent="0.25">
      <c r="A302" t="s">
        <v>328</v>
      </c>
      <c r="B302" t="s">
        <v>743</v>
      </c>
    </row>
    <row r="303" spans="1:2" x14ac:dyDescent="0.25">
      <c r="A303" t="s">
        <v>329</v>
      </c>
      <c r="B303" t="s">
        <v>744</v>
      </c>
    </row>
    <row r="304" spans="1:2" x14ac:dyDescent="0.25">
      <c r="A304" t="s">
        <v>330</v>
      </c>
      <c r="B304" t="s">
        <v>745</v>
      </c>
    </row>
    <row r="305" spans="1:2" x14ac:dyDescent="0.25">
      <c r="A305" t="s">
        <v>331</v>
      </c>
      <c r="B305" t="s">
        <v>746</v>
      </c>
    </row>
    <row r="306" spans="1:2" x14ac:dyDescent="0.25">
      <c r="A306" t="s">
        <v>332</v>
      </c>
      <c r="B306" t="s">
        <v>747</v>
      </c>
    </row>
    <row r="307" spans="1:2" x14ac:dyDescent="0.25">
      <c r="A307" t="s">
        <v>411</v>
      </c>
      <c r="B307" t="s">
        <v>748</v>
      </c>
    </row>
    <row r="308" spans="1:2" x14ac:dyDescent="0.25">
      <c r="A308" t="s">
        <v>750</v>
      </c>
      <c r="B308" t="s">
        <v>749</v>
      </c>
    </row>
    <row r="309" spans="1:2" x14ac:dyDescent="0.25">
      <c r="A309" t="s">
        <v>334</v>
      </c>
      <c r="B309" t="s">
        <v>751</v>
      </c>
    </row>
    <row r="310" spans="1:2" x14ac:dyDescent="0.25">
      <c r="A310" t="s">
        <v>335</v>
      </c>
      <c r="B310" t="s">
        <v>752</v>
      </c>
    </row>
    <row r="311" spans="1:2" x14ac:dyDescent="0.25">
      <c r="A311" t="s">
        <v>337</v>
      </c>
      <c r="B311" t="s">
        <v>753</v>
      </c>
    </row>
    <row r="312" spans="1:2" x14ac:dyDescent="0.25">
      <c r="A312" t="s">
        <v>339</v>
      </c>
      <c r="B312" t="s">
        <v>754</v>
      </c>
    </row>
    <row r="313" spans="1:2" x14ac:dyDescent="0.25">
      <c r="A313" t="s">
        <v>340</v>
      </c>
      <c r="B313" t="s">
        <v>755</v>
      </c>
    </row>
    <row r="314" spans="1:2" x14ac:dyDescent="0.25">
      <c r="A314" t="s">
        <v>341</v>
      </c>
      <c r="B314" t="s">
        <v>756</v>
      </c>
    </row>
    <row r="315" spans="1:2" x14ac:dyDescent="0.25">
      <c r="A315" t="s">
        <v>343</v>
      </c>
      <c r="B315" t="s">
        <v>757</v>
      </c>
    </row>
    <row r="316" spans="1:2" x14ac:dyDescent="0.25">
      <c r="A316" t="s">
        <v>433</v>
      </c>
      <c r="B316" t="s">
        <v>758</v>
      </c>
    </row>
    <row r="317" spans="1:2" x14ac:dyDescent="0.25">
      <c r="A317" t="s">
        <v>344</v>
      </c>
      <c r="B317" t="s">
        <v>759</v>
      </c>
    </row>
    <row r="318" spans="1:2" x14ac:dyDescent="0.25">
      <c r="A318" t="s">
        <v>345</v>
      </c>
      <c r="B318" t="s">
        <v>760</v>
      </c>
    </row>
    <row r="319" spans="1:2" x14ac:dyDescent="0.25">
      <c r="A319" t="s">
        <v>346</v>
      </c>
      <c r="B319" t="s">
        <v>761</v>
      </c>
    </row>
    <row r="320" spans="1:2" x14ac:dyDescent="0.25">
      <c r="A320" t="s">
        <v>347</v>
      </c>
      <c r="B320" t="s">
        <v>762</v>
      </c>
    </row>
    <row r="321" spans="1:2" x14ac:dyDescent="0.25">
      <c r="A321" t="s">
        <v>348</v>
      </c>
      <c r="B321" t="s">
        <v>763</v>
      </c>
    </row>
    <row r="322" spans="1:2" x14ac:dyDescent="0.25">
      <c r="A322" t="s">
        <v>350</v>
      </c>
      <c r="B322" t="s">
        <v>764</v>
      </c>
    </row>
    <row r="323" spans="1:2" x14ac:dyDescent="0.25">
      <c r="A323" t="s">
        <v>352</v>
      </c>
      <c r="B323" t="s">
        <v>765</v>
      </c>
    </row>
    <row r="324" spans="1:2" x14ac:dyDescent="0.25">
      <c r="A324" t="s">
        <v>353</v>
      </c>
      <c r="B324" t="s">
        <v>766</v>
      </c>
    </row>
    <row r="325" spans="1:2" x14ac:dyDescent="0.25">
      <c r="A325" t="s">
        <v>355</v>
      </c>
      <c r="B325" t="s">
        <v>767</v>
      </c>
    </row>
    <row r="326" spans="1:2" x14ac:dyDescent="0.25">
      <c r="A326" t="s">
        <v>357</v>
      </c>
      <c r="B326" t="s">
        <v>768</v>
      </c>
    </row>
    <row r="327" spans="1:2" x14ac:dyDescent="0.25">
      <c r="A327" t="s">
        <v>358</v>
      </c>
      <c r="B327" t="s">
        <v>769</v>
      </c>
    </row>
    <row r="328" spans="1:2" x14ac:dyDescent="0.25">
      <c r="A328" t="s">
        <v>359</v>
      </c>
      <c r="B328" t="s">
        <v>770</v>
      </c>
    </row>
    <row r="329" spans="1:2" x14ac:dyDescent="0.25">
      <c r="A329" t="s">
        <v>360</v>
      </c>
      <c r="B329" t="s">
        <v>771</v>
      </c>
    </row>
    <row r="330" spans="1:2" x14ac:dyDescent="0.25">
      <c r="A330" t="s">
        <v>362</v>
      </c>
      <c r="B330" t="s">
        <v>772</v>
      </c>
    </row>
    <row r="331" spans="1:2" x14ac:dyDescent="0.25">
      <c r="A331" t="s">
        <v>363</v>
      </c>
      <c r="B331" t="s">
        <v>773</v>
      </c>
    </row>
    <row r="332" spans="1:2" x14ac:dyDescent="0.25">
      <c r="A332" t="s">
        <v>365</v>
      </c>
      <c r="B332" t="s">
        <v>774</v>
      </c>
    </row>
    <row r="333" spans="1:2" x14ac:dyDescent="0.25">
      <c r="A333" t="s">
        <v>366</v>
      </c>
      <c r="B333" t="s">
        <v>775</v>
      </c>
    </row>
    <row r="334" spans="1:2" x14ac:dyDescent="0.25">
      <c r="A334" t="s">
        <v>367</v>
      </c>
      <c r="B334" t="s">
        <v>451</v>
      </c>
    </row>
    <row r="335" spans="1:2" x14ac:dyDescent="0.25">
      <c r="A335" t="s">
        <v>368</v>
      </c>
      <c r="B335" t="s">
        <v>776</v>
      </c>
    </row>
    <row r="336" spans="1:2" x14ac:dyDescent="0.25">
      <c r="A336" t="s">
        <v>370</v>
      </c>
      <c r="B336" t="s">
        <v>777</v>
      </c>
    </row>
    <row r="337" spans="1:2" x14ac:dyDescent="0.25">
      <c r="A337" t="s">
        <v>371</v>
      </c>
      <c r="B337" t="s">
        <v>778</v>
      </c>
    </row>
    <row r="338" spans="1:2" x14ac:dyDescent="0.25">
      <c r="A338" t="s">
        <v>372</v>
      </c>
      <c r="B338" t="s">
        <v>779</v>
      </c>
    </row>
    <row r="339" spans="1:2" x14ac:dyDescent="0.25">
      <c r="A339" t="s">
        <v>373</v>
      </c>
      <c r="B339" t="s">
        <v>780</v>
      </c>
    </row>
    <row r="340" spans="1:2" x14ac:dyDescent="0.25">
      <c r="A340" t="s">
        <v>374</v>
      </c>
      <c r="B340" t="s">
        <v>781</v>
      </c>
    </row>
    <row r="341" spans="1:2" x14ac:dyDescent="0.25">
      <c r="A341" t="s">
        <v>375</v>
      </c>
      <c r="B341" t="s">
        <v>782</v>
      </c>
    </row>
    <row r="342" spans="1:2" x14ac:dyDescent="0.25">
      <c r="A342" t="s">
        <v>376</v>
      </c>
      <c r="B342" t="s">
        <v>783</v>
      </c>
    </row>
    <row r="343" spans="1:2" x14ac:dyDescent="0.25">
      <c r="A343" t="s">
        <v>376</v>
      </c>
      <c r="B343" t="s">
        <v>784</v>
      </c>
    </row>
    <row r="344" spans="1:2" x14ac:dyDescent="0.25">
      <c r="A344" t="s">
        <v>378</v>
      </c>
      <c r="B344" t="s">
        <v>785</v>
      </c>
    </row>
    <row r="345" spans="1:2" x14ac:dyDescent="0.25">
      <c r="A345" t="s">
        <v>379</v>
      </c>
      <c r="B345" t="s">
        <v>786</v>
      </c>
    </row>
    <row r="346" spans="1:2" x14ac:dyDescent="0.25">
      <c r="A346" t="s">
        <v>380</v>
      </c>
      <c r="B346" t="s">
        <v>787</v>
      </c>
    </row>
    <row r="347" spans="1:2" x14ac:dyDescent="0.25">
      <c r="A347" t="s">
        <v>382</v>
      </c>
      <c r="B347" t="s">
        <v>788</v>
      </c>
    </row>
    <row r="348" spans="1:2" x14ac:dyDescent="0.25">
      <c r="A348" t="s">
        <v>383</v>
      </c>
      <c r="B348" t="s">
        <v>789</v>
      </c>
    </row>
    <row r="349" spans="1:2" x14ac:dyDescent="0.25">
      <c r="A349" t="s">
        <v>431</v>
      </c>
      <c r="B349" t="s">
        <v>790</v>
      </c>
    </row>
    <row r="350" spans="1:2" x14ac:dyDescent="0.25">
      <c r="A350" t="s">
        <v>384</v>
      </c>
      <c r="B350" t="s">
        <v>791</v>
      </c>
    </row>
    <row r="351" spans="1:2" x14ac:dyDescent="0.25">
      <c r="A351" t="s">
        <v>386</v>
      </c>
      <c r="B351" t="s">
        <v>792</v>
      </c>
    </row>
    <row r="352" spans="1:2" x14ac:dyDescent="0.25">
      <c r="A352" t="s">
        <v>432</v>
      </c>
      <c r="B352" t="s">
        <v>793</v>
      </c>
    </row>
    <row r="353" spans="1:2" x14ac:dyDescent="0.25">
      <c r="A353" t="s">
        <v>388</v>
      </c>
      <c r="B353" t="s">
        <v>794</v>
      </c>
    </row>
    <row r="354" spans="1:2" x14ac:dyDescent="0.25">
      <c r="A354" t="s">
        <v>389</v>
      </c>
      <c r="B354" t="s">
        <v>795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parcelas</vt:lpstr>
      <vt:lpstr>plano_interno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 Reis</cp:lastModifiedBy>
  <cp:revision/>
  <dcterms:created xsi:type="dcterms:W3CDTF">2026-01-26T23:09:52Z</dcterms:created>
  <dcterms:modified xsi:type="dcterms:W3CDTF">2026-03-20T06:18:18Z</dcterms:modified>
  <cp:category/>
  <cp:contentStatus/>
</cp:coreProperties>
</file>