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854e6706cf50b/Documentos/Seplad/"/>
    </mc:Choice>
  </mc:AlternateContent>
  <xr:revisionPtr revIDLastSave="96" documentId="8_{063CAB35-503D-47C0-82A2-0769B90FB030}" xr6:coauthVersionLast="47" xr6:coauthVersionMax="47" xr10:uidLastSave="{D4355B56-C920-4B30-87CE-6353CC602440}"/>
  <bookViews>
    <workbookView xWindow="-120" yWindow="-120" windowWidth="29040" windowHeight="15720" xr2:uid="{8658C97B-32F7-49BC-91D6-938C503E2FBD}"/>
  </bookViews>
  <sheets>
    <sheet name="lista" sheetId="1" r:id="rId1"/>
    <sheet name="parcelas" sheetId="2" r:id="rId2"/>
    <sheet name="plano_intern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</calcChain>
</file>

<file path=xl/sharedStrings.xml><?xml version="1.0" encoding="utf-8"?>
<sst xmlns="http://schemas.openxmlformats.org/spreadsheetml/2006/main" count="637" uniqueCount="180">
  <si>
    <t>orgao</t>
  </si>
  <si>
    <t>municipio</t>
  </si>
  <si>
    <t>convenente</t>
  </si>
  <si>
    <t>numero_convenio</t>
  </si>
  <si>
    <t>ano</t>
  </si>
  <si>
    <t>objeto</t>
  </si>
  <si>
    <t>SESPA</t>
  </si>
  <si>
    <t xml:space="preserve">ITAITUBA </t>
  </si>
  <si>
    <t>INVESTIMENTO</t>
  </si>
  <si>
    <t xml:space="preserve">SANTA LUZIA DO PARÁ </t>
  </si>
  <si>
    <t>MOJU</t>
  </si>
  <si>
    <t xml:space="preserve">ALMEIRIM </t>
  </si>
  <si>
    <t xml:space="preserve">BREVES </t>
  </si>
  <si>
    <t>COLARES</t>
  </si>
  <si>
    <t>REDENÇÃO</t>
  </si>
  <si>
    <t xml:space="preserve">REDENÇÃO </t>
  </si>
  <si>
    <t xml:space="preserve">ELDORADO DO CARAJAS </t>
  </si>
  <si>
    <t xml:space="preserve">NOVA IPIXUNA </t>
  </si>
  <si>
    <t>SÃO DOMINGOS DO ARAGUAIA</t>
  </si>
  <si>
    <t>TRAIRÃO</t>
  </si>
  <si>
    <t>SANTANA DO ARAGUAIA</t>
  </si>
  <si>
    <t>SOURE</t>
  </si>
  <si>
    <t>RURÓPOLIS</t>
  </si>
  <si>
    <t>MARABÁ</t>
  </si>
  <si>
    <t>PORTO DE MOZ</t>
  </si>
  <si>
    <t>ABAETETUBA</t>
  </si>
  <si>
    <t>GURUPÁ</t>
  </si>
  <si>
    <t>OEIRAS DO PARÁ</t>
  </si>
  <si>
    <t>URUARÁ</t>
  </si>
  <si>
    <t>MOCAJUBA</t>
  </si>
  <si>
    <t>SÃO JOÃO DA PONTA</t>
  </si>
  <si>
    <t>SÃO JOÃO DO ARAGUAIA</t>
  </si>
  <si>
    <t>BRAGANÇA</t>
  </si>
  <si>
    <t>BONITO</t>
  </si>
  <si>
    <t>UFOPA/FIAM</t>
  </si>
  <si>
    <t>OUTRAS DESPESAS CORRENTES</t>
  </si>
  <si>
    <t>SANTAREM</t>
  </si>
  <si>
    <t>MEDICILÂNDIA</t>
  </si>
  <si>
    <t>TOMÉ-AÇÚ</t>
  </si>
  <si>
    <t>ANAPÚ</t>
  </si>
  <si>
    <t>CONCEIÇÃO DO ARAGUAIA</t>
  </si>
  <si>
    <t>MONTE ALEGRE</t>
  </si>
  <si>
    <t>grupo_despesa</t>
  </si>
  <si>
    <t>data_inicio</t>
  </si>
  <si>
    <t>data_fim</t>
  </si>
  <si>
    <t>valor_total</t>
  </si>
  <si>
    <t>valor_orgao</t>
  </si>
  <si>
    <t>valor_contrapartida</t>
  </si>
  <si>
    <t>numero_parcela</t>
  </si>
  <si>
    <t>valor_previsto</t>
  </si>
  <si>
    <t>valor_pago</t>
  </si>
  <si>
    <t>situacao</t>
  </si>
  <si>
    <t>observacoes</t>
  </si>
  <si>
    <t>PAGO</t>
  </si>
  <si>
    <t>ABERTO</t>
  </si>
  <si>
    <t xml:space="preserve">Apresentou a Prestação de Contas até a 7º parcela </t>
  </si>
  <si>
    <t>Pendências de Prestação de contas</t>
  </si>
  <si>
    <t xml:space="preserve">Apresentou a Prestação de Contas até a 5º parcela </t>
  </si>
  <si>
    <t>Apresentou a Prestação até a 3º parcela</t>
  </si>
  <si>
    <t xml:space="preserve">Parcela em andamento </t>
  </si>
  <si>
    <t xml:space="preserve">Apresentação de Prestação de contas até a 1º parcela </t>
  </si>
  <si>
    <t>Apresentação da Prestação de Contas até a 2º parcela</t>
  </si>
  <si>
    <t xml:space="preserve">ABERTO </t>
  </si>
  <si>
    <t>Apresentação da Prestação de Contas até a 4º parcela</t>
  </si>
  <si>
    <t xml:space="preserve">Apresentação da Prestação de Contas até a 3º parcela. </t>
  </si>
  <si>
    <t>Apresentação da Prestação de Contas até a 6º parcela, no entanto, não está condicionada</t>
  </si>
  <si>
    <t>plano_interno</t>
  </si>
  <si>
    <t>1040CMAHMIT</t>
  </si>
  <si>
    <t>21CONVAHMIT</t>
  </si>
  <si>
    <t>1040008289E</t>
  </si>
  <si>
    <t>LC2052024SA</t>
  </si>
  <si>
    <t xml:space="preserve">22CONVCHGMO                       </t>
  </si>
  <si>
    <t>22CONVMGRAM</t>
  </si>
  <si>
    <t>22CONVCMIBS</t>
  </si>
  <si>
    <t>21DEMGC0034</t>
  </si>
  <si>
    <t>22CONVRHPPD</t>
  </si>
  <si>
    <t>22CONVRHIPD</t>
  </si>
  <si>
    <t>22CONVCHMEC</t>
  </si>
  <si>
    <t xml:space="preserve">22CONVRAHNI                             </t>
  </si>
  <si>
    <t>22CONVCHMSA</t>
  </si>
  <si>
    <t xml:space="preserve">22CONVRAHTO                                     </t>
  </si>
  <si>
    <t xml:space="preserve">22CONVRMHSG </t>
  </si>
  <si>
    <t>21DEMGC0224</t>
  </si>
  <si>
    <t>21DEMG00179</t>
  </si>
  <si>
    <t xml:space="preserve">21DEMGC0179          </t>
  </si>
  <si>
    <t>21DEMPC0004</t>
  </si>
  <si>
    <t>22CONVRHSAB</t>
  </si>
  <si>
    <t>22CONVCHMGU</t>
  </si>
  <si>
    <t>22CONVRHMOP</t>
  </si>
  <si>
    <t xml:space="preserve">22CONVCHMUR                 </t>
  </si>
  <si>
    <t>1020008289E</t>
  </si>
  <si>
    <t>22CONVCHMMJ</t>
  </si>
  <si>
    <t>22CONVRCESW</t>
  </si>
  <si>
    <t>22CONVRHMSJ</t>
  </si>
  <si>
    <t>23DEMPC0011</t>
  </si>
  <si>
    <t>8302COVIDPA</t>
  </si>
  <si>
    <t>23DEMPC0050</t>
  </si>
  <si>
    <t>23CONVX04MD</t>
  </si>
  <si>
    <t xml:space="preserve">23CONVX01MD </t>
  </si>
  <si>
    <t>24CONVTRSTA</t>
  </si>
  <si>
    <t>23DEMGC0053</t>
  </si>
  <si>
    <t>1020008288C</t>
  </si>
  <si>
    <t>23DEMP00766</t>
  </si>
  <si>
    <t>23EMENC0034</t>
  </si>
  <si>
    <t>BELÉM</t>
  </si>
  <si>
    <t>SANTA BÁRBARA DO PARÁ</t>
  </si>
  <si>
    <t>048/2022</t>
  </si>
  <si>
    <t>011/2022</t>
  </si>
  <si>
    <t>011/2024</t>
  </si>
  <si>
    <t>007/2023</t>
  </si>
  <si>
    <t>005/2023</t>
  </si>
  <si>
    <t>004/2023</t>
  </si>
  <si>
    <t>013/2024</t>
  </si>
  <si>
    <t>012/2022</t>
  </si>
  <si>
    <t>015/2022</t>
  </si>
  <si>
    <t>001/2025</t>
  </si>
  <si>
    <t>018/2022</t>
  </si>
  <si>
    <t>049/2022</t>
  </si>
  <si>
    <t>006/2021</t>
  </si>
  <si>
    <t>042/2022</t>
  </si>
  <si>
    <t>002/2024</t>
  </si>
  <si>
    <t>005/2024</t>
  </si>
  <si>
    <t>062/2022</t>
  </si>
  <si>
    <t>010/2022</t>
  </si>
  <si>
    <t>002/2025</t>
  </si>
  <si>
    <t>019/2022</t>
  </si>
  <si>
    <t>053/2022</t>
  </si>
  <si>
    <t>050/2022</t>
  </si>
  <si>
    <t>047/2022</t>
  </si>
  <si>
    <t>016/2022</t>
  </si>
  <si>
    <t>017/2022</t>
  </si>
  <si>
    <t>040/2022</t>
  </si>
  <si>
    <t>001/2024</t>
  </si>
  <si>
    <t>009/2022</t>
  </si>
  <si>
    <t>035/2022</t>
  </si>
  <si>
    <t>008/2023</t>
  </si>
  <si>
    <t>026/2022</t>
  </si>
  <si>
    <t>064/2022</t>
  </si>
  <si>
    <t>067/2022</t>
  </si>
  <si>
    <t>039/2022</t>
  </si>
  <si>
    <t>006/2024</t>
  </si>
  <si>
    <t>033/2022</t>
  </si>
  <si>
    <t>051/2022</t>
  </si>
  <si>
    <t>REVITALIZAÇÃO DO HOSPITAL MUNICIPAL SÃO BENTO</t>
  </si>
  <si>
    <t>MANUTENÇÃO GERAL, REFORMA COM ADAPTAÇÃO E AMPLIAÇÃO DO HOSPITAL MUNICIPAL DE ALMEIRIM E CONSTRUÇÃO DE ANEXOS</t>
  </si>
  <si>
    <t>AQUISIÇÃO DE 01 VEÍCULO TIPO VAN (MÍNIMO 16 LUGARES)</t>
  </si>
  <si>
    <t>DESCENTRALIZAÇÃO DO DIAGNÓSTICO MOLECULAR DE AGRAVOS EM SAÚDE PÚBLICA NA REGIÃO OESTE DO ESTADO DO PARÁ</t>
  </si>
  <si>
    <t>AQUISIÇÃO DE 01 (UMA) AMBULÂNCIA DO TIPO B</t>
  </si>
  <si>
    <t>AQUISIÇÃO DE EQUIPAMENTOS E MATERIAIS PERMANENTES PARA A POLICLINICA RUTH NOBRE BRAGANÇA</t>
  </si>
  <si>
    <t>VIABILIZAÇÃO DE REPASSE DE RECURSOS PARA ATIVIDADES FINALÍSTICAS RELACIONADAS ÀS AÇÕES DE SAÚDE NA POLICLÍNICA RUTH NOBRE BRAGANÇA</t>
  </si>
  <si>
    <t>CONSTRUÇÃO DE CENTRO DE ATENÇÃO DE ATENDIMENTO  MATERNO INFANTIL</t>
  </si>
  <si>
    <t>REFORMA DA UNIDADE MISTA DE SAÚDE - UMS</t>
  </si>
  <si>
    <t>AQUISIÇÃO DE 01 (UM) VEÍCULO (05 LUGARES, ZERO KM)</t>
  </si>
  <si>
    <t>CONSTRUÇÃO DA 1º ETAPA DE OBRAS (BLOCO 1 E BLOCO2) TOTALIZANDO UM TOTAL DE 1.186,27 M2......</t>
  </si>
  <si>
    <t>CONSTRUÇÃO DO HOSPITAL MUNICIPAL DE GURUPÁ</t>
  </si>
  <si>
    <t>CONSTRUÇÃO DE UMA MATERNIDADE MUNICIPAL</t>
  </si>
  <si>
    <t>AQUISIÇÃO DE 01 (UM) CASTRAMÓVEL</t>
  </si>
  <si>
    <t>AQUISIÇÃO DE EQUIPAMENTOS E MATERIAIS PERMANENTES HOSPITALARES PARA O HOSPITAL DE MEDICILÂNDIA</t>
  </si>
  <si>
    <t>CONSTRUÇÃO DE UM POSTO DE
SAÚDE NO KM 80 - AGROVILA NOVA FRONTEIRA</t>
  </si>
  <si>
    <t>CONSTRUÇÃO DO HOSPITAL MUNICIPAL DE MOCAJUBA</t>
  </si>
  <si>
    <t>CONSTRUÇÃO DO HOSPITAL GERAL DE MOJU</t>
  </si>
  <si>
    <t>AQUISIÇÃO DE 01 (UMA) AMBULÂNCIA TIPO A - SIMPLES REMOÇÃO - TIPO FURGONETA</t>
  </si>
  <si>
    <t>REFORMA E AMPLIAÇÃO DO HOSPITAL MUNICIPAL DE NOVA IPIXUNA</t>
  </si>
  <si>
    <t>AQUISIÇÃO DE UNIDADE MÓVEL TIPO MICRO ÔNIBUS</t>
  </si>
  <si>
    <t>REFORMA DO HOSPITAL MUNICIPAL DE OEIRAS DO PARÁ</t>
  </si>
  <si>
    <t>REFORMADO HOSPITAL ANA NERY NO MUNICIPIO DE PORTO DE MOZ</t>
  </si>
  <si>
    <t>REFORMA DO HOSPITAL MUNICIPAL DR. PEDRO PAULO BARCAUÍ</t>
  </si>
  <si>
    <t>REFORMA DO HOSPITAL MUNICIPAL DR. IRACI MACHADO DE ARAÚJO</t>
  </si>
  <si>
    <t>REFORMA E AMPLIAÇÃO DO HOSPITAL MUNICIPAL DE RURÓPOLIS</t>
  </si>
  <si>
    <t xml:space="preserve">AQUISIÇÃO DE 01 (UMA) AMBULÂNCIA TIPO A </t>
  </si>
  <si>
    <t>AQUISIÇÃO DE MOBILIÁRIA E EQUIPAMENTOS HOSPITALARES PARA MUNICÍPIO DE SANTA LUZIA DO PARÁ</t>
  </si>
  <si>
    <t>REFORMA DA MATERNIDADE MUNICIPAL DR. JOÃO CARLOS FERREIRA REIS</t>
  </si>
  <si>
    <t xml:space="preserve">AQUISIÇÃO DE 01 (UM) MAMÓGRAFO DIGITAL </t>
  </si>
  <si>
    <t>CONSTRUÇÃO DO HOSPITAL DE SÃO DOMINGOS DO ARAGUAIA</t>
  </si>
  <si>
    <t>REFORMA E ADEQUAÇÃO DO CENTRO DE SAÚDE ESPECIAL</t>
  </si>
  <si>
    <t>REVITALIZAÇÃO DO HOSPITAL DE SÃO JOÃO DO ARAGUAIA</t>
  </si>
  <si>
    <t>REFORMA DO HOSPITAL MUNICIPAL MENINO DEUS</t>
  </si>
  <si>
    <t xml:space="preserve">CONSTRUÇÃO DE CLÍNICA AUTÔNOMA DE TERAPIA RENAL SUBSTITUTIVA - TRS EM TOMÉ - AÇÚ </t>
  </si>
  <si>
    <t>REFORMA E AMPLIAÇÃO DO HOSPITAL MUNICIPAL DE TRAIRÃO, COM 3.571,92 M², CONTEMPLANDO A SEGUINTE ESTRUTURA FÍSICA: URGÊNCIA E EMERG}ENCIA, INTERNAÇÃO, CENTRO CIRÚRGICO, MATERNIDADE, CME, CAF, LABORATÓRIOS, RAIO-X E IMAGENS, ADMINISTRAÇÃO E DEMAIS ESTRUTURAS DE APOIO</t>
  </si>
  <si>
    <t>CONSTRUÇÃO DO HOSPITAL MUNICIPAL DE URUARÁ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</si>
</sst>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9891C1-E682-481B-ADA4-701B16444A65}" name="Tabela3" displayName="Tabela3" ref="A1:L38" totalsRowShown="0">
  <autoFilter ref="A1:L38" xr:uid="{499891C1-E682-481B-ADA4-701B16444A65}"/>
  <sortState xmlns:xlrd2="http://schemas.microsoft.com/office/spreadsheetml/2017/richdata2" ref="A2:L38">
    <sortCondition ref="B1:B38"/>
  </sortState>
  <tableColumns count="12">
    <tableColumn id="1" xr3:uid="{78AA4699-C2EB-44B1-8A60-4E01721C951A}" name="orgao"/>
    <tableColumn id="2" xr3:uid="{E6DB2215-4743-4064-9856-BE90FA195741}" name="municipio"/>
    <tableColumn id="3" xr3:uid="{2ADE578D-0369-42F1-ABD4-2FC62CD89491}" name="convenente"/>
    <tableColumn id="13" xr3:uid="{9E0B3634-4887-47CB-863E-18CA69742877}" name="numero_convenio"/>
    <tableColumn id="5" xr3:uid="{3335C048-3E6D-424B-97D8-1255F30E95D2}" name="ano">
      <calculatedColumnFormula>RIGHT(Tabela3[[#This Row],[numero_convenio]],4)</calculatedColumnFormula>
    </tableColumn>
    <tableColumn id="16" xr3:uid="{6DBD2D93-62B8-4BC1-B01E-24278761A8A7}" name="objeto"/>
    <tableColumn id="7" xr3:uid="{3A8B5E68-7F3E-46FB-A3E5-C88F35F8DC58}" name="grupo_despesa"/>
    <tableColumn id="8" xr3:uid="{53D1B88B-5FBB-4CF1-B1CD-74E776EDB182}" name="data_inicio" dataDxfId="1"/>
    <tableColumn id="9" xr3:uid="{DAF79924-2445-4CC6-9B2B-33376561A5AC}" name="data_fim" dataDxfId="0"/>
    <tableColumn id="10" xr3:uid="{7A9E6B90-F284-420A-99ED-E4FD5FF5760B}" name="valor_total" dataCellStyle="Vírgula"/>
    <tableColumn id="11" xr3:uid="{A95BF9E0-0C01-439E-9E31-B548C9CCF9AD}" name="valor_orgao" dataCellStyle="Vírgula"/>
    <tableColumn id="12" xr3:uid="{4373136D-5031-4E20-98C4-D7A589D4E630}" name="valor_contrapartida" dataCellStyle="Vírgul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690C-C2D2-4A47-90BC-85E7566043E6}" name="Tabela1" displayName="Tabela1" ref="A1:F145" totalsRowShown="0">
  <autoFilter ref="A1:F145" xr:uid="{B761690C-C2D2-4A47-90BC-85E7566043E6}"/>
  <tableColumns count="6">
    <tableColumn id="7" xr3:uid="{286506B5-905A-4B80-8953-2C0FAA1DFB93}" name="numero_convenio"/>
    <tableColumn id="2" xr3:uid="{C65C2F74-8D78-4D9E-A47F-A5222595BEA1}" name="numero_parcela"/>
    <tableColumn id="3" xr3:uid="{80BFB225-1EDF-4112-8D6A-36CA47162EF5}" name="valor_previsto" dataCellStyle="Vírgula"/>
    <tableColumn id="4" xr3:uid="{9F2F09A1-5447-4254-90D1-F7AB2703ABA0}" name="valor_pago" dataCellStyle="Vírgula"/>
    <tableColumn id="5" xr3:uid="{DE81EF37-C31D-45B6-927E-4067332E3ACC}" name="situacao"/>
    <tableColumn id="6" xr3:uid="{52CF8CB9-7908-4918-8DB5-D4F7ACC2E829}" name="observaco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514936-D2CD-4A60-B075-0C1A5E8761A9}" name="Tabela2" displayName="Tabela2" ref="A1:B44" totalsRowShown="0">
  <autoFilter ref="A1:B44" xr:uid="{3D514936-D2CD-4A60-B075-0C1A5E8761A9}"/>
  <tableColumns count="2">
    <tableColumn id="3" xr3:uid="{17DED50B-89B5-4914-8174-37EC39D35361}" name="numero_convenio"/>
    <tableColumn id="2" xr3:uid="{6E3AED5A-4497-43E2-9619-47380C53AA3A}" name="plano_inter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116C-614B-4D11-837D-BCC257BE20AA}">
  <dimension ref="A1:L38"/>
  <sheetViews>
    <sheetView tabSelected="1" workbookViewId="0">
      <selection activeCell="D3" sqref="D3"/>
    </sheetView>
  </sheetViews>
  <sheetFormatPr defaultRowHeight="15" x14ac:dyDescent="0.25"/>
  <cols>
    <col min="1" max="1" width="8.28515625" customWidth="1"/>
    <col min="2" max="3" width="28" bestFit="1" customWidth="1"/>
    <col min="4" max="4" width="18.85546875" customWidth="1"/>
    <col min="5" max="5" width="6.5703125" customWidth="1"/>
    <col min="6" max="6" width="39.7109375" customWidth="1"/>
    <col min="7" max="7" width="28.28515625" bestFit="1" customWidth="1"/>
    <col min="8" max="8" width="13" customWidth="1"/>
    <col min="9" max="9" width="10.85546875" customWidth="1"/>
    <col min="10" max="11" width="14.28515625" style="2" bestFit="1" customWidth="1"/>
    <col min="12" max="12" width="20.5703125" style="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42</v>
      </c>
      <c r="H1" t="s">
        <v>43</v>
      </c>
      <c r="I1" t="s">
        <v>44</v>
      </c>
      <c r="J1" s="2" t="s">
        <v>45</v>
      </c>
      <c r="K1" s="2" t="s">
        <v>46</v>
      </c>
      <c r="L1" s="2" t="s">
        <v>47</v>
      </c>
    </row>
    <row r="2" spans="1:12" x14ac:dyDescent="0.25">
      <c r="A2" t="s">
        <v>6</v>
      </c>
      <c r="B2" t="s">
        <v>25</v>
      </c>
      <c r="C2" t="s">
        <v>25</v>
      </c>
      <c r="D2" t="s">
        <v>106</v>
      </c>
      <c r="E2" t="str">
        <f>RIGHT(Tabela3[[#This Row],[numero_convenio]],4)</f>
        <v>2022</v>
      </c>
      <c r="F2" t="s">
        <v>143</v>
      </c>
      <c r="G2" t="s">
        <v>8</v>
      </c>
      <c r="H2" s="1">
        <v>44736</v>
      </c>
      <c r="I2" s="1">
        <v>46193</v>
      </c>
      <c r="J2" s="2">
        <v>4121700.98</v>
      </c>
      <c r="K2" s="2">
        <v>3709530.88</v>
      </c>
      <c r="L2" s="2">
        <v>412170.1</v>
      </c>
    </row>
    <row r="3" spans="1:12" x14ac:dyDescent="0.25">
      <c r="A3" t="s">
        <v>6</v>
      </c>
      <c r="B3" t="s">
        <v>11</v>
      </c>
      <c r="C3" t="s">
        <v>11</v>
      </c>
      <c r="D3" t="s">
        <v>107</v>
      </c>
      <c r="E3" t="str">
        <f>RIGHT(Tabela3[[#This Row],[numero_convenio]],4)</f>
        <v>2022</v>
      </c>
      <c r="F3" t="s">
        <v>144</v>
      </c>
      <c r="G3" t="s">
        <v>8</v>
      </c>
      <c r="H3" s="1">
        <v>44652</v>
      </c>
      <c r="I3" s="1">
        <v>46316</v>
      </c>
      <c r="J3" s="2">
        <v>15147638.689999999</v>
      </c>
      <c r="K3" s="2">
        <v>14533229.4</v>
      </c>
      <c r="L3" s="2">
        <v>614409.29</v>
      </c>
    </row>
    <row r="4" spans="1:12" x14ac:dyDescent="0.25">
      <c r="A4" t="s">
        <v>6</v>
      </c>
      <c r="B4" t="s">
        <v>39</v>
      </c>
      <c r="C4" t="s">
        <v>39</v>
      </c>
      <c r="D4" t="s">
        <v>108</v>
      </c>
      <c r="E4" t="str">
        <f>RIGHT(Tabela3[[#This Row],[numero_convenio]],4)</f>
        <v>2024</v>
      </c>
      <c r="F4" t="s">
        <v>145</v>
      </c>
      <c r="G4" t="s">
        <v>8</v>
      </c>
      <c r="H4" s="1">
        <v>45474</v>
      </c>
      <c r="I4" s="1">
        <v>46203</v>
      </c>
      <c r="J4" s="2">
        <v>360000</v>
      </c>
      <c r="K4" s="2">
        <v>286440</v>
      </c>
      <c r="L4" s="2">
        <v>73560</v>
      </c>
    </row>
    <row r="5" spans="1:12" x14ac:dyDescent="0.25">
      <c r="A5" t="s">
        <v>6</v>
      </c>
      <c r="B5" t="s">
        <v>104</v>
      </c>
      <c r="C5" t="s">
        <v>34</v>
      </c>
      <c r="D5" t="s">
        <v>109</v>
      </c>
      <c r="E5" t="str">
        <f>RIGHT(Tabela3[[#This Row],[numero_convenio]],4)</f>
        <v>2023</v>
      </c>
      <c r="F5" t="s">
        <v>146</v>
      </c>
      <c r="G5" t="s">
        <v>35</v>
      </c>
      <c r="H5" s="1">
        <v>45159</v>
      </c>
      <c r="I5" s="1">
        <v>46619</v>
      </c>
      <c r="J5" s="2">
        <v>1615786.09</v>
      </c>
      <c r="K5" s="2">
        <v>1615786.09</v>
      </c>
      <c r="L5" s="2">
        <v>0</v>
      </c>
    </row>
    <row r="6" spans="1:12" x14ac:dyDescent="0.25">
      <c r="A6" t="s">
        <v>6</v>
      </c>
      <c r="B6" t="s">
        <v>33</v>
      </c>
      <c r="C6" t="s">
        <v>33</v>
      </c>
      <c r="D6" t="s">
        <v>110</v>
      </c>
      <c r="E6" t="str">
        <f>RIGHT(Tabela3[[#This Row],[numero_convenio]],4)</f>
        <v>2023</v>
      </c>
      <c r="F6" t="s">
        <v>147</v>
      </c>
      <c r="G6" t="s">
        <v>8</v>
      </c>
      <c r="H6" s="1">
        <v>45145</v>
      </c>
      <c r="I6" s="1">
        <v>46228</v>
      </c>
      <c r="J6" s="2">
        <v>250333.33</v>
      </c>
      <c r="K6" s="2">
        <v>238943.16</v>
      </c>
      <c r="L6" s="2">
        <v>11390.17</v>
      </c>
    </row>
    <row r="7" spans="1:12" x14ac:dyDescent="0.25">
      <c r="A7" t="s">
        <v>6</v>
      </c>
      <c r="B7" t="s">
        <v>32</v>
      </c>
      <c r="C7" t="s">
        <v>32</v>
      </c>
      <c r="D7" t="s">
        <v>111</v>
      </c>
      <c r="E7" t="str">
        <f>RIGHT(Tabela3[[#This Row],[numero_convenio]],4)</f>
        <v>2023</v>
      </c>
      <c r="F7" t="s">
        <v>148</v>
      </c>
      <c r="G7" t="s">
        <v>8</v>
      </c>
      <c r="H7" s="1">
        <v>45114</v>
      </c>
      <c r="I7" s="1">
        <v>46209</v>
      </c>
      <c r="J7" s="2">
        <v>10804460.9</v>
      </c>
      <c r="K7" s="2">
        <v>9724014.8100000005</v>
      </c>
      <c r="L7" s="2">
        <v>1080446.0900000001</v>
      </c>
    </row>
    <row r="8" spans="1:12" x14ac:dyDescent="0.25">
      <c r="A8" t="s">
        <v>6</v>
      </c>
      <c r="B8" t="s">
        <v>32</v>
      </c>
      <c r="C8" t="s">
        <v>32</v>
      </c>
      <c r="D8" t="s">
        <v>112</v>
      </c>
      <c r="E8" t="str">
        <f>RIGHT(Tabela3[[#This Row],[numero_convenio]],4)</f>
        <v>2024</v>
      </c>
      <c r="F8" t="s">
        <v>149</v>
      </c>
      <c r="G8" t="s">
        <v>35</v>
      </c>
      <c r="H8" s="1">
        <v>45478</v>
      </c>
      <c r="I8" s="1">
        <v>46147</v>
      </c>
      <c r="J8" s="2">
        <v>31500000</v>
      </c>
      <c r="K8" s="2">
        <v>30000000</v>
      </c>
      <c r="L8" s="2">
        <v>1500000</v>
      </c>
    </row>
    <row r="9" spans="1:12" x14ac:dyDescent="0.25">
      <c r="A9" t="s">
        <v>6</v>
      </c>
      <c r="B9" t="s">
        <v>12</v>
      </c>
      <c r="C9" t="s">
        <v>12</v>
      </c>
      <c r="D9" t="s">
        <v>113</v>
      </c>
      <c r="E9" t="str">
        <f>RIGHT(Tabela3[[#This Row],[numero_convenio]],4)</f>
        <v>2022</v>
      </c>
      <c r="F9" t="s">
        <v>150</v>
      </c>
      <c r="G9" t="s">
        <v>8</v>
      </c>
      <c r="H9" s="1">
        <v>44656</v>
      </c>
      <c r="I9" s="1">
        <v>46116</v>
      </c>
      <c r="J9" s="2">
        <v>24377178.960000001</v>
      </c>
      <c r="K9" s="2">
        <v>23098922.440000001</v>
      </c>
      <c r="L9" s="2">
        <v>1278256.52</v>
      </c>
    </row>
    <row r="10" spans="1:12" x14ac:dyDescent="0.25">
      <c r="A10" t="s">
        <v>6</v>
      </c>
      <c r="B10" t="s">
        <v>13</v>
      </c>
      <c r="C10" t="s">
        <v>13</v>
      </c>
      <c r="D10" t="s">
        <v>114</v>
      </c>
      <c r="E10" t="str">
        <f>RIGHT(Tabela3[[#This Row],[numero_convenio]],4)</f>
        <v>2022</v>
      </c>
      <c r="F10" t="s">
        <v>151</v>
      </c>
      <c r="G10" t="s">
        <v>8</v>
      </c>
      <c r="H10" s="1">
        <v>44662</v>
      </c>
      <c r="I10" s="1">
        <v>46122</v>
      </c>
      <c r="J10" s="2">
        <v>1450016.66</v>
      </c>
      <c r="K10" s="2">
        <v>1392015.99</v>
      </c>
      <c r="L10" s="2">
        <v>58000.67</v>
      </c>
    </row>
    <row r="11" spans="1:12" x14ac:dyDescent="0.25">
      <c r="A11" t="s">
        <v>6</v>
      </c>
      <c r="B11" t="s">
        <v>40</v>
      </c>
      <c r="C11" t="s">
        <v>40</v>
      </c>
      <c r="D11" t="s">
        <v>115</v>
      </c>
      <c r="E11" t="str">
        <f>RIGHT(Tabela3[[#This Row],[numero_convenio]],4)</f>
        <v>2025</v>
      </c>
      <c r="F11" t="s">
        <v>152</v>
      </c>
      <c r="G11" t="s">
        <v>8</v>
      </c>
      <c r="H11" s="1">
        <v>45847</v>
      </c>
      <c r="I11" s="1">
        <v>46211</v>
      </c>
      <c r="J11" s="2">
        <v>106500</v>
      </c>
      <c r="K11" s="2">
        <v>100000</v>
      </c>
      <c r="L11" s="2">
        <v>6500</v>
      </c>
    </row>
    <row r="12" spans="1:12" x14ac:dyDescent="0.25">
      <c r="A12" t="s">
        <v>6</v>
      </c>
      <c r="B12" t="s">
        <v>16</v>
      </c>
      <c r="C12" t="s">
        <v>16</v>
      </c>
      <c r="D12" t="s">
        <v>116</v>
      </c>
      <c r="E12" t="str">
        <f>RIGHT(Tabela3[[#This Row],[numero_convenio]],4)</f>
        <v>2022</v>
      </c>
      <c r="F12" t="s">
        <v>153</v>
      </c>
      <c r="G12" t="s">
        <v>8</v>
      </c>
      <c r="H12" s="1">
        <v>44671</v>
      </c>
      <c r="I12" s="1">
        <v>46056</v>
      </c>
      <c r="J12" s="2">
        <v>7737822.0700000003</v>
      </c>
      <c r="K12" s="2">
        <v>7428309.1799999997</v>
      </c>
      <c r="L12" s="2">
        <v>309512.89</v>
      </c>
    </row>
    <row r="13" spans="1:12" x14ac:dyDescent="0.25">
      <c r="A13" t="s">
        <v>6</v>
      </c>
      <c r="B13" t="s">
        <v>26</v>
      </c>
      <c r="C13" t="s">
        <v>26</v>
      </c>
      <c r="D13" t="s">
        <v>117</v>
      </c>
      <c r="E13" t="str">
        <f>RIGHT(Tabela3[[#This Row],[numero_convenio]],4)</f>
        <v>2022</v>
      </c>
      <c r="F13" t="s">
        <v>154</v>
      </c>
      <c r="G13" t="s">
        <v>8</v>
      </c>
      <c r="H13" s="1">
        <v>44737</v>
      </c>
      <c r="I13" s="1">
        <v>46197</v>
      </c>
      <c r="J13" s="2">
        <v>12534252.060000001</v>
      </c>
      <c r="K13" s="2">
        <v>11280826.859999999</v>
      </c>
      <c r="L13" s="2">
        <v>1253425.2</v>
      </c>
    </row>
    <row r="14" spans="1:12" x14ac:dyDescent="0.25">
      <c r="A14" t="s">
        <v>6</v>
      </c>
      <c r="B14" t="s">
        <v>7</v>
      </c>
      <c r="C14" t="s">
        <v>7</v>
      </c>
      <c r="D14" t="s">
        <v>118</v>
      </c>
      <c r="E14" t="str">
        <f>RIGHT(Tabela3[[#This Row],[numero_convenio]],4)</f>
        <v>2021</v>
      </c>
      <c r="F14" t="s">
        <v>155</v>
      </c>
      <c r="G14" t="s">
        <v>8</v>
      </c>
      <c r="H14" s="1">
        <v>44482</v>
      </c>
      <c r="I14" s="1">
        <v>46286</v>
      </c>
      <c r="J14" s="2">
        <v>4009980.16</v>
      </c>
      <c r="K14" s="2">
        <v>3608982.13</v>
      </c>
      <c r="L14" s="2">
        <v>400998.03</v>
      </c>
    </row>
    <row r="15" spans="1:12" x14ac:dyDescent="0.25">
      <c r="A15" t="s">
        <v>6</v>
      </c>
      <c r="B15" t="s">
        <v>23</v>
      </c>
      <c r="C15" t="s">
        <v>23</v>
      </c>
      <c r="D15" t="s">
        <v>119</v>
      </c>
      <c r="E15" t="str">
        <f>RIGHT(Tabela3[[#This Row],[numero_convenio]],4)</f>
        <v>2022</v>
      </c>
      <c r="F15" t="s">
        <v>156</v>
      </c>
      <c r="G15" t="s">
        <v>8</v>
      </c>
      <c r="H15" s="1">
        <v>44726</v>
      </c>
      <c r="I15" s="1">
        <v>46186</v>
      </c>
      <c r="J15" s="2">
        <v>233178</v>
      </c>
      <c r="K15" s="2">
        <v>200860.2</v>
      </c>
      <c r="L15" s="2">
        <v>22317.8</v>
      </c>
    </row>
    <row r="16" spans="1:12" x14ac:dyDescent="0.25">
      <c r="A16" t="s">
        <v>6</v>
      </c>
      <c r="B16" t="s">
        <v>37</v>
      </c>
      <c r="C16" t="s">
        <v>37</v>
      </c>
      <c r="D16" t="s">
        <v>120</v>
      </c>
      <c r="E16" t="str">
        <f>RIGHT(Tabela3[[#This Row],[numero_convenio]],4)</f>
        <v>2024</v>
      </c>
      <c r="F16" t="s">
        <v>157</v>
      </c>
      <c r="G16" t="s">
        <v>8</v>
      </c>
      <c r="H16" s="1">
        <v>45341</v>
      </c>
      <c r="I16" s="1">
        <v>46071</v>
      </c>
      <c r="J16" s="2">
        <v>633260.14</v>
      </c>
      <c r="K16" s="2">
        <v>607929.73</v>
      </c>
      <c r="L16" s="2">
        <v>25330.41</v>
      </c>
    </row>
    <row r="17" spans="1:12" x14ac:dyDescent="0.25">
      <c r="A17" t="s">
        <v>6</v>
      </c>
      <c r="B17" t="s">
        <v>37</v>
      </c>
      <c r="C17" t="s">
        <v>37</v>
      </c>
      <c r="D17" t="s">
        <v>121</v>
      </c>
      <c r="E17" t="str">
        <f>RIGHT(Tabela3[[#This Row],[numero_convenio]],4)</f>
        <v>2024</v>
      </c>
      <c r="F17" t="s">
        <v>158</v>
      </c>
      <c r="G17" t="s">
        <v>8</v>
      </c>
      <c r="H17" s="1">
        <v>45435</v>
      </c>
      <c r="I17" s="1">
        <v>46164</v>
      </c>
      <c r="J17" s="2">
        <v>1032096.3</v>
      </c>
      <c r="K17" s="2">
        <v>990812.45</v>
      </c>
      <c r="L17" s="2">
        <v>41283.85</v>
      </c>
    </row>
    <row r="18" spans="1:12" x14ac:dyDescent="0.25">
      <c r="A18" t="s">
        <v>6</v>
      </c>
      <c r="B18" t="s">
        <v>29</v>
      </c>
      <c r="C18" t="s">
        <v>29</v>
      </c>
      <c r="D18" t="s">
        <v>122</v>
      </c>
      <c r="E18" t="str">
        <f>RIGHT(Tabela3[[#This Row],[numero_convenio]],4)</f>
        <v>2022</v>
      </c>
      <c r="F18" t="s">
        <v>159</v>
      </c>
      <c r="G18" t="s">
        <v>8</v>
      </c>
      <c r="H18" s="1">
        <v>44741</v>
      </c>
      <c r="I18" s="1">
        <v>46384</v>
      </c>
      <c r="J18" s="2">
        <v>18534171.420000002</v>
      </c>
      <c r="K18" s="2">
        <v>17792804.579999998</v>
      </c>
      <c r="L18" s="2">
        <v>741366.84</v>
      </c>
    </row>
    <row r="19" spans="1:12" x14ac:dyDescent="0.25">
      <c r="A19" t="s">
        <v>6</v>
      </c>
      <c r="B19" t="s">
        <v>10</v>
      </c>
      <c r="C19" t="s">
        <v>10</v>
      </c>
      <c r="D19" t="s">
        <v>123</v>
      </c>
      <c r="E19" t="str">
        <f>RIGHT(Tabela3[[#This Row],[numero_convenio]],4)</f>
        <v>2022</v>
      </c>
      <c r="F19" t="s">
        <v>160</v>
      </c>
      <c r="G19" t="s">
        <v>8</v>
      </c>
      <c r="H19" s="1">
        <v>44649</v>
      </c>
      <c r="I19" s="1">
        <v>46285</v>
      </c>
      <c r="J19" s="2">
        <v>22701775.010000002</v>
      </c>
      <c r="K19" s="2">
        <v>21566686.27</v>
      </c>
      <c r="L19" s="2">
        <v>1135088.74</v>
      </c>
    </row>
    <row r="20" spans="1:12" x14ac:dyDescent="0.25">
      <c r="A20" t="s">
        <v>6</v>
      </c>
      <c r="B20" t="s">
        <v>41</v>
      </c>
      <c r="C20" t="s">
        <v>41</v>
      </c>
      <c r="D20" t="s">
        <v>124</v>
      </c>
      <c r="E20" t="str">
        <f>RIGHT(Tabela3[[#This Row],[numero_convenio]],4)</f>
        <v>2025</v>
      </c>
      <c r="F20" t="s">
        <v>161</v>
      </c>
      <c r="G20" t="s">
        <v>8</v>
      </c>
      <c r="H20" s="1">
        <v>45959</v>
      </c>
      <c r="I20" s="1">
        <v>46323</v>
      </c>
      <c r="J20" s="2">
        <v>268250</v>
      </c>
      <c r="K20" s="2">
        <v>200000</v>
      </c>
      <c r="L20" s="2">
        <v>68250</v>
      </c>
    </row>
    <row r="21" spans="1:12" x14ac:dyDescent="0.25">
      <c r="A21" t="s">
        <v>6</v>
      </c>
      <c r="B21" t="s">
        <v>17</v>
      </c>
      <c r="C21" t="s">
        <v>17</v>
      </c>
      <c r="D21" t="s">
        <v>125</v>
      </c>
      <c r="E21" t="str">
        <f>RIGHT(Tabela3[[#This Row],[numero_convenio]],4)</f>
        <v>2022</v>
      </c>
      <c r="F21" t="s">
        <v>162</v>
      </c>
      <c r="G21" t="s">
        <v>8</v>
      </c>
      <c r="H21" s="1">
        <v>44671</v>
      </c>
      <c r="I21" s="1">
        <v>46132</v>
      </c>
      <c r="J21" s="2">
        <v>8556757.4299999997</v>
      </c>
      <c r="K21" s="2">
        <v>8128919.5599999996</v>
      </c>
      <c r="L21" s="2">
        <v>427837.87</v>
      </c>
    </row>
    <row r="22" spans="1:12" x14ac:dyDescent="0.25">
      <c r="A22" t="s">
        <v>6</v>
      </c>
      <c r="B22" t="s">
        <v>17</v>
      </c>
      <c r="C22" t="s">
        <v>17</v>
      </c>
      <c r="D22" t="s">
        <v>126</v>
      </c>
      <c r="E22" t="str">
        <f>RIGHT(Tabela3[[#This Row],[numero_convenio]],4)</f>
        <v>2022</v>
      </c>
      <c r="F22" t="s">
        <v>163</v>
      </c>
      <c r="G22" t="s">
        <v>8</v>
      </c>
      <c r="H22" s="1">
        <v>44737</v>
      </c>
      <c r="I22" s="1">
        <v>46179</v>
      </c>
      <c r="J22" s="2">
        <v>635000</v>
      </c>
      <c r="K22" s="2">
        <v>609600</v>
      </c>
      <c r="L22" s="2">
        <v>25400</v>
      </c>
    </row>
    <row r="23" spans="1:12" x14ac:dyDescent="0.25">
      <c r="A23" t="s">
        <v>6</v>
      </c>
      <c r="B23" t="s">
        <v>27</v>
      </c>
      <c r="C23" t="s">
        <v>27</v>
      </c>
      <c r="D23" t="s">
        <v>127</v>
      </c>
      <c r="E23" t="str">
        <f>RIGHT(Tabela3[[#This Row],[numero_convenio]],4)</f>
        <v>2022</v>
      </c>
      <c r="F23" t="s">
        <v>164</v>
      </c>
      <c r="G23" t="s">
        <v>8</v>
      </c>
      <c r="H23" s="1">
        <v>44737</v>
      </c>
      <c r="I23" s="1">
        <v>46195</v>
      </c>
      <c r="J23" s="2">
        <v>1054472.8600000001</v>
      </c>
      <c r="K23" s="2">
        <v>1012293.93</v>
      </c>
      <c r="L23" s="2">
        <v>42178.93</v>
      </c>
    </row>
    <row r="24" spans="1:12" x14ac:dyDescent="0.25">
      <c r="A24" t="s">
        <v>6</v>
      </c>
      <c r="B24" t="s">
        <v>24</v>
      </c>
      <c r="C24" t="s">
        <v>24</v>
      </c>
      <c r="D24" t="s">
        <v>128</v>
      </c>
      <c r="E24" t="str">
        <f>RIGHT(Tabela3[[#This Row],[numero_convenio]],4)</f>
        <v>2022</v>
      </c>
      <c r="F24" t="s">
        <v>165</v>
      </c>
      <c r="G24" t="s">
        <v>8</v>
      </c>
      <c r="H24" s="1">
        <v>44734</v>
      </c>
      <c r="I24" s="1">
        <v>46148</v>
      </c>
      <c r="J24" s="2">
        <v>1045910.86</v>
      </c>
      <c r="K24" s="2">
        <v>1004074.43</v>
      </c>
      <c r="L24" s="2">
        <v>41836.43</v>
      </c>
    </row>
    <row r="25" spans="1:12" x14ac:dyDescent="0.25">
      <c r="A25" t="s">
        <v>6</v>
      </c>
      <c r="B25" t="s">
        <v>14</v>
      </c>
      <c r="C25" t="s">
        <v>14</v>
      </c>
      <c r="D25" t="s">
        <v>129</v>
      </c>
      <c r="E25" t="str">
        <f>RIGHT(Tabela3[[#This Row],[numero_convenio]],4)</f>
        <v>2022</v>
      </c>
      <c r="F25" t="s">
        <v>166</v>
      </c>
      <c r="G25" t="s">
        <v>8</v>
      </c>
      <c r="H25" s="1">
        <v>44659</v>
      </c>
      <c r="I25" s="1">
        <v>46119</v>
      </c>
      <c r="J25" s="2">
        <v>719190.51</v>
      </c>
      <c r="K25" s="2">
        <v>500000</v>
      </c>
      <c r="L25" s="2">
        <v>219190.51</v>
      </c>
    </row>
    <row r="26" spans="1:12" x14ac:dyDescent="0.25">
      <c r="A26" t="s">
        <v>6</v>
      </c>
      <c r="B26" t="s">
        <v>15</v>
      </c>
      <c r="C26" t="s">
        <v>15</v>
      </c>
      <c r="D26" t="s">
        <v>130</v>
      </c>
      <c r="E26" t="str">
        <f>RIGHT(Tabela3[[#This Row],[numero_convenio]],4)</f>
        <v>2022</v>
      </c>
      <c r="F26" t="s">
        <v>167</v>
      </c>
      <c r="G26" t="s">
        <v>8</v>
      </c>
      <c r="H26" s="1">
        <v>44659</v>
      </c>
      <c r="I26" s="1">
        <v>46119</v>
      </c>
      <c r="J26" s="2">
        <v>543386.07999999996</v>
      </c>
      <c r="K26" s="2">
        <v>500000</v>
      </c>
      <c r="L26" s="2">
        <v>43386.080000000002</v>
      </c>
    </row>
    <row r="27" spans="1:12" x14ac:dyDescent="0.25">
      <c r="A27" t="s">
        <v>6</v>
      </c>
      <c r="B27" t="s">
        <v>22</v>
      </c>
      <c r="C27" t="s">
        <v>22</v>
      </c>
      <c r="D27" t="s">
        <v>131</v>
      </c>
      <c r="E27" t="str">
        <f>RIGHT(Tabela3[[#This Row],[numero_convenio]],4)</f>
        <v>2022</v>
      </c>
      <c r="F27" t="s">
        <v>168</v>
      </c>
      <c r="G27" t="s">
        <v>8</v>
      </c>
      <c r="H27" s="1">
        <v>44722</v>
      </c>
      <c r="I27" s="1">
        <v>46181</v>
      </c>
      <c r="J27" s="2">
        <v>7206369.04</v>
      </c>
      <c r="K27" s="2">
        <v>6846050.5999999996</v>
      </c>
      <c r="L27" s="2">
        <v>360318.44</v>
      </c>
    </row>
    <row r="28" spans="1:12" x14ac:dyDescent="0.25">
      <c r="A28" t="s">
        <v>6</v>
      </c>
      <c r="B28" t="s">
        <v>105</v>
      </c>
      <c r="C28" t="s">
        <v>105</v>
      </c>
      <c r="D28" t="s">
        <v>132</v>
      </c>
      <c r="E28" t="str">
        <f>RIGHT(Tabela3[[#This Row],[numero_convenio]],4)</f>
        <v>2024</v>
      </c>
      <c r="F28" t="s">
        <v>169</v>
      </c>
      <c r="G28" t="s">
        <v>8</v>
      </c>
      <c r="H28" s="1">
        <v>45337</v>
      </c>
      <c r="I28" s="1">
        <v>46187</v>
      </c>
      <c r="J28" s="2">
        <v>137340</v>
      </c>
      <c r="K28" s="2">
        <v>131846.39999999999</v>
      </c>
      <c r="L28" s="2">
        <v>5493.6</v>
      </c>
    </row>
    <row r="29" spans="1:12" x14ac:dyDescent="0.25">
      <c r="A29" t="s">
        <v>6</v>
      </c>
      <c r="B29" t="s">
        <v>9</v>
      </c>
      <c r="C29" t="s">
        <v>9</v>
      </c>
      <c r="D29" t="s">
        <v>133</v>
      </c>
      <c r="E29" t="str">
        <f>RIGHT(Tabela3[[#This Row],[numero_convenio]],4)</f>
        <v>2022</v>
      </c>
      <c r="F29" t="s">
        <v>170</v>
      </c>
      <c r="G29" t="s">
        <v>8</v>
      </c>
      <c r="H29" s="1">
        <v>44638</v>
      </c>
      <c r="I29" s="1">
        <v>46065</v>
      </c>
      <c r="J29" s="2">
        <v>1158230.92</v>
      </c>
      <c r="K29" s="2">
        <v>1000000</v>
      </c>
      <c r="L29" s="2">
        <v>158230.92000000001</v>
      </c>
    </row>
    <row r="30" spans="1:12" x14ac:dyDescent="0.25">
      <c r="A30" t="s">
        <v>6</v>
      </c>
      <c r="B30" t="s">
        <v>20</v>
      </c>
      <c r="C30" t="s">
        <v>20</v>
      </c>
      <c r="D30" t="s">
        <v>134</v>
      </c>
      <c r="E30" t="str">
        <f>RIGHT(Tabela3[[#This Row],[numero_convenio]],4)</f>
        <v>2022</v>
      </c>
      <c r="F30" t="s">
        <v>171</v>
      </c>
      <c r="G30" t="s">
        <v>8</v>
      </c>
      <c r="H30" s="1">
        <v>44718</v>
      </c>
      <c r="I30" s="1">
        <v>46177</v>
      </c>
      <c r="J30" s="2">
        <v>707318.29</v>
      </c>
      <c r="K30" s="2">
        <v>671952.38</v>
      </c>
      <c r="L30" s="2">
        <v>35365.910000000003</v>
      </c>
    </row>
    <row r="31" spans="1:12" x14ac:dyDescent="0.25">
      <c r="A31" t="s">
        <v>6</v>
      </c>
      <c r="B31" t="s">
        <v>36</v>
      </c>
      <c r="C31" t="s">
        <v>36</v>
      </c>
      <c r="D31" t="s">
        <v>135</v>
      </c>
      <c r="E31" t="str">
        <f>RIGHT(Tabela3[[#This Row],[numero_convenio]],4)</f>
        <v>2023</v>
      </c>
      <c r="F31" t="s">
        <v>172</v>
      </c>
      <c r="G31" t="s">
        <v>8</v>
      </c>
      <c r="H31" s="1">
        <v>45236</v>
      </c>
      <c r="I31" s="1">
        <v>46147</v>
      </c>
      <c r="J31" s="2">
        <v>1144578.25</v>
      </c>
      <c r="K31" s="2">
        <v>992349.34</v>
      </c>
      <c r="L31" s="2">
        <v>152228.91</v>
      </c>
    </row>
    <row r="32" spans="1:12" x14ac:dyDescent="0.25">
      <c r="A32" t="s">
        <v>6</v>
      </c>
      <c r="B32" t="s">
        <v>18</v>
      </c>
      <c r="C32" t="s">
        <v>18</v>
      </c>
      <c r="D32" t="s">
        <v>136</v>
      </c>
      <c r="E32" t="str">
        <f>RIGHT(Tabela3[[#This Row],[numero_convenio]],4)</f>
        <v>2022</v>
      </c>
      <c r="F32" t="s">
        <v>173</v>
      </c>
      <c r="G32" t="s">
        <v>8</v>
      </c>
      <c r="H32" s="1">
        <v>44687</v>
      </c>
      <c r="I32" s="1">
        <v>46147</v>
      </c>
      <c r="J32" s="2">
        <v>12493476.210000001</v>
      </c>
      <c r="K32" s="2">
        <v>11993737.16</v>
      </c>
      <c r="L32" s="2">
        <v>499739.05</v>
      </c>
    </row>
    <row r="33" spans="1:12" x14ac:dyDescent="0.25">
      <c r="A33" t="s">
        <v>6</v>
      </c>
      <c r="B33" t="s">
        <v>30</v>
      </c>
      <c r="C33" t="s">
        <v>30</v>
      </c>
      <c r="D33" t="s">
        <v>137</v>
      </c>
      <c r="E33" t="str">
        <f>RIGHT(Tabela3[[#This Row],[numero_convenio]],4)</f>
        <v>2022</v>
      </c>
      <c r="F33" t="s">
        <v>174</v>
      </c>
      <c r="G33" t="s">
        <v>8</v>
      </c>
      <c r="H33" s="1">
        <v>44741</v>
      </c>
      <c r="I33" s="1">
        <v>46198</v>
      </c>
      <c r="J33" s="2">
        <v>4077573.52</v>
      </c>
      <c r="K33" s="2">
        <v>3914470.57</v>
      </c>
      <c r="L33" s="2">
        <v>163102.95000000001</v>
      </c>
    </row>
    <row r="34" spans="1:12" x14ac:dyDescent="0.25">
      <c r="A34" t="s">
        <v>6</v>
      </c>
      <c r="B34" t="s">
        <v>31</v>
      </c>
      <c r="C34" t="s">
        <v>31</v>
      </c>
      <c r="D34" t="s">
        <v>138</v>
      </c>
      <c r="E34" t="str">
        <f>RIGHT(Tabela3[[#This Row],[numero_convenio]],4)</f>
        <v>2022</v>
      </c>
      <c r="F34" t="s">
        <v>175</v>
      </c>
      <c r="G34" t="s">
        <v>8</v>
      </c>
      <c r="H34" s="1">
        <v>44743</v>
      </c>
      <c r="I34" s="1">
        <v>46203</v>
      </c>
      <c r="J34" s="2">
        <v>3000000</v>
      </c>
      <c r="K34" s="2">
        <v>2880000</v>
      </c>
      <c r="L34" s="2">
        <v>120000</v>
      </c>
    </row>
    <row r="35" spans="1:12" x14ac:dyDescent="0.25">
      <c r="A35" t="s">
        <v>6</v>
      </c>
      <c r="B35" t="s">
        <v>21</v>
      </c>
      <c r="C35" t="s">
        <v>21</v>
      </c>
      <c r="D35" t="s">
        <v>139</v>
      </c>
      <c r="E35" t="str">
        <f>RIGHT(Tabela3[[#This Row],[numero_convenio]],4)</f>
        <v>2022</v>
      </c>
      <c r="F35" t="s">
        <v>176</v>
      </c>
      <c r="G35" t="s">
        <v>8</v>
      </c>
      <c r="H35" s="1">
        <v>44722</v>
      </c>
      <c r="I35" s="1">
        <v>46049</v>
      </c>
      <c r="J35" s="2">
        <v>2038662.24</v>
      </c>
      <c r="K35" s="2">
        <v>1800000</v>
      </c>
      <c r="L35" s="2">
        <v>238662.24</v>
      </c>
    </row>
    <row r="36" spans="1:12" x14ac:dyDescent="0.25">
      <c r="A36" t="s">
        <v>6</v>
      </c>
      <c r="B36" t="s">
        <v>38</v>
      </c>
      <c r="C36" t="s">
        <v>38</v>
      </c>
      <c r="D36" t="s">
        <v>140</v>
      </c>
      <c r="E36" t="str">
        <f>RIGHT(Tabela3[[#This Row],[numero_convenio]],4)</f>
        <v>2024</v>
      </c>
      <c r="F36" t="s">
        <v>177</v>
      </c>
      <c r="G36" t="s">
        <v>8</v>
      </c>
      <c r="H36" s="1">
        <v>45447</v>
      </c>
      <c r="I36" s="1">
        <v>46176</v>
      </c>
      <c r="J36" s="2">
        <v>14086550.51</v>
      </c>
      <c r="K36" s="2">
        <v>13382222.98</v>
      </c>
      <c r="L36" s="2">
        <v>704327.53</v>
      </c>
    </row>
    <row r="37" spans="1:12" x14ac:dyDescent="0.25">
      <c r="A37" t="s">
        <v>6</v>
      </c>
      <c r="B37" t="s">
        <v>19</v>
      </c>
      <c r="C37" t="s">
        <v>19</v>
      </c>
      <c r="D37" t="s">
        <v>141</v>
      </c>
      <c r="E37" t="str">
        <f>RIGHT(Tabela3[[#This Row],[numero_convenio]],4)</f>
        <v>2022</v>
      </c>
      <c r="F37" t="s">
        <v>178</v>
      </c>
      <c r="G37" t="s">
        <v>8</v>
      </c>
      <c r="H37" s="1">
        <v>44718</v>
      </c>
      <c r="I37" s="1">
        <v>46361</v>
      </c>
      <c r="J37" s="2">
        <v>11510054.91</v>
      </c>
      <c r="K37" s="2">
        <v>11049652.710000001</v>
      </c>
      <c r="L37" s="2">
        <v>460402.2</v>
      </c>
    </row>
    <row r="38" spans="1:12" x14ac:dyDescent="0.25">
      <c r="A38" t="s">
        <v>6</v>
      </c>
      <c r="B38" t="s">
        <v>28</v>
      </c>
      <c r="C38" t="s">
        <v>28</v>
      </c>
      <c r="D38" t="s">
        <v>142</v>
      </c>
      <c r="E38" t="str">
        <f>RIGHT(Tabela3[[#This Row],[numero_convenio]],4)</f>
        <v>2022</v>
      </c>
      <c r="F38" t="s">
        <v>179</v>
      </c>
      <c r="G38" t="s">
        <v>8</v>
      </c>
      <c r="H38" s="1">
        <v>44737</v>
      </c>
      <c r="I38" s="1">
        <v>46197</v>
      </c>
      <c r="J38" s="2">
        <v>28985000.100000001</v>
      </c>
      <c r="K38" s="2">
        <v>27825600.100000001</v>
      </c>
      <c r="L38" s="2">
        <v>1159400</v>
      </c>
    </row>
  </sheetData>
  <phoneticPr fontId="2" type="noConversion"/>
  <pageMargins left="0.511811024" right="0.511811024" top="0.78740157499999996" bottom="0.78740157499999996" header="0.31496062000000002" footer="0.31496062000000002"/>
  <ignoredErrors>
    <ignoredError sqref="E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0D93-C3F2-4597-AE29-41A1B8FBBDD7}">
  <dimension ref="A1:F145"/>
  <sheetViews>
    <sheetView workbookViewId="0">
      <selection activeCell="C150" sqref="C150"/>
    </sheetView>
  </sheetViews>
  <sheetFormatPr defaultRowHeight="15" x14ac:dyDescent="0.25"/>
  <cols>
    <col min="1" max="1" width="19.7109375" bestFit="1" customWidth="1"/>
    <col min="2" max="2" width="17.85546875" bestFit="1" customWidth="1"/>
    <col min="3" max="3" width="17.5703125" style="2" bestFit="1" customWidth="1"/>
    <col min="4" max="4" width="14.28515625" style="2" bestFit="1" customWidth="1"/>
    <col min="5" max="5" width="10.85546875" customWidth="1"/>
    <col min="6" max="6" width="82.5703125" bestFit="1" customWidth="1"/>
  </cols>
  <sheetData>
    <row r="1" spans="1:6" x14ac:dyDescent="0.25">
      <c r="A1" t="s">
        <v>3</v>
      </c>
      <c r="B1" t="s">
        <v>48</v>
      </c>
      <c r="C1" s="2" t="s">
        <v>49</v>
      </c>
      <c r="D1" s="2" t="s">
        <v>50</v>
      </c>
      <c r="E1" t="s">
        <v>51</v>
      </c>
      <c r="F1" t="s">
        <v>52</v>
      </c>
    </row>
    <row r="2" spans="1:6" x14ac:dyDescent="0.25">
      <c r="A2" t="s">
        <v>118</v>
      </c>
      <c r="B2">
        <v>1</v>
      </c>
      <c r="C2" s="2">
        <v>391415.85</v>
      </c>
      <c r="D2" s="2">
        <v>391415.85</v>
      </c>
      <c r="E2" t="s">
        <v>53</v>
      </c>
    </row>
    <row r="3" spans="1:6" x14ac:dyDescent="0.25">
      <c r="A3" t="s">
        <v>118</v>
      </c>
      <c r="B3">
        <v>2</v>
      </c>
      <c r="C3" s="2">
        <v>391415.85</v>
      </c>
      <c r="D3" s="2">
        <v>391415.85</v>
      </c>
      <c r="E3" t="s">
        <v>53</v>
      </c>
    </row>
    <row r="4" spans="1:6" x14ac:dyDescent="0.25">
      <c r="A4" t="s">
        <v>118</v>
      </c>
      <c r="B4">
        <v>3</v>
      </c>
      <c r="C4" s="2">
        <v>391415.85</v>
      </c>
      <c r="D4" s="2">
        <v>391415.85</v>
      </c>
      <c r="E4" t="s">
        <v>53</v>
      </c>
    </row>
    <row r="5" spans="1:6" x14ac:dyDescent="0.25">
      <c r="A5" t="s">
        <v>118</v>
      </c>
      <c r="B5">
        <v>4</v>
      </c>
      <c r="C5" s="2">
        <v>391415.85</v>
      </c>
      <c r="D5" s="2">
        <v>391415.85</v>
      </c>
      <c r="E5" t="s">
        <v>53</v>
      </c>
    </row>
    <row r="6" spans="1:6" x14ac:dyDescent="0.25">
      <c r="A6" t="s">
        <v>118</v>
      </c>
      <c r="B6">
        <v>5</v>
      </c>
      <c r="C6" s="2">
        <v>391415.85</v>
      </c>
      <c r="D6" s="2">
        <v>391415.85</v>
      </c>
      <c r="E6" t="s">
        <v>53</v>
      </c>
    </row>
    <row r="7" spans="1:6" x14ac:dyDescent="0.25">
      <c r="A7" t="s">
        <v>118</v>
      </c>
      <c r="B7">
        <v>6</v>
      </c>
      <c r="C7" s="2">
        <v>391415.85</v>
      </c>
      <c r="D7" s="2">
        <v>391415.85</v>
      </c>
      <c r="E7" t="s">
        <v>53</v>
      </c>
    </row>
    <row r="8" spans="1:6" x14ac:dyDescent="0.25">
      <c r="A8" t="s">
        <v>118</v>
      </c>
      <c r="B8">
        <v>7</v>
      </c>
      <c r="C8" s="2">
        <v>391415.85</v>
      </c>
      <c r="D8" s="2">
        <v>391415.85</v>
      </c>
      <c r="E8" t="s">
        <v>53</v>
      </c>
    </row>
    <row r="9" spans="1:6" x14ac:dyDescent="0.25">
      <c r="A9" t="s">
        <v>118</v>
      </c>
      <c r="B9">
        <v>8</v>
      </c>
      <c r="C9" s="2">
        <v>391415.85</v>
      </c>
      <c r="D9" s="2">
        <v>391415.85</v>
      </c>
      <c r="E9" t="s">
        <v>53</v>
      </c>
    </row>
    <row r="10" spans="1:6" x14ac:dyDescent="0.25">
      <c r="A10" t="s">
        <v>118</v>
      </c>
      <c r="B10">
        <v>9</v>
      </c>
      <c r="C10" s="2">
        <v>391415.85</v>
      </c>
      <c r="E10" t="s">
        <v>54</v>
      </c>
      <c r="F10" t="s">
        <v>55</v>
      </c>
    </row>
    <row r="11" spans="1:6" x14ac:dyDescent="0.25">
      <c r="A11" t="s">
        <v>118</v>
      </c>
      <c r="B11">
        <v>10</v>
      </c>
      <c r="C11" s="2">
        <v>159921.1</v>
      </c>
      <c r="E11" t="s">
        <v>54</v>
      </c>
    </row>
    <row r="12" spans="1:6" x14ac:dyDescent="0.25">
      <c r="A12" t="s">
        <v>118</v>
      </c>
      <c r="B12">
        <v>11</v>
      </c>
      <c r="C12" s="2">
        <v>115504.26</v>
      </c>
      <c r="E12" t="s">
        <v>54</v>
      </c>
    </row>
    <row r="13" spans="1:6" x14ac:dyDescent="0.25">
      <c r="A13" t="s">
        <v>118</v>
      </c>
      <c r="B13">
        <v>12</v>
      </c>
      <c r="C13" s="2">
        <v>76643.03</v>
      </c>
      <c r="E13" t="s">
        <v>54</v>
      </c>
    </row>
    <row r="14" spans="1:6" x14ac:dyDescent="0.25">
      <c r="A14" t="s">
        <v>133</v>
      </c>
      <c r="B14">
        <v>1</v>
      </c>
      <c r="C14" s="2">
        <v>1000000</v>
      </c>
      <c r="D14" s="2">
        <v>1000000</v>
      </c>
      <c r="E14" t="s">
        <v>53</v>
      </c>
    </row>
    <row r="15" spans="1:6" x14ac:dyDescent="0.25">
      <c r="A15" t="s">
        <v>123</v>
      </c>
      <c r="B15">
        <v>1</v>
      </c>
      <c r="C15" s="2">
        <v>2140606.5299999998</v>
      </c>
      <c r="D15" s="2">
        <v>2140606.5299999998</v>
      </c>
      <c r="E15" t="s">
        <v>53</v>
      </c>
    </row>
    <row r="16" spans="1:6" x14ac:dyDescent="0.25">
      <c r="A16" t="s">
        <v>123</v>
      </c>
      <c r="B16">
        <v>2</v>
      </c>
      <c r="C16" s="2">
        <v>2140606.5299999998</v>
      </c>
      <c r="D16" s="2">
        <v>2140606.5299999998</v>
      </c>
      <c r="E16" t="s">
        <v>53</v>
      </c>
    </row>
    <row r="17" spans="1:6" x14ac:dyDescent="0.25">
      <c r="A17" t="s">
        <v>123</v>
      </c>
      <c r="B17">
        <v>3</v>
      </c>
      <c r="C17" s="2">
        <v>2140606.5299999998</v>
      </c>
      <c r="D17" s="2">
        <v>2140606.5299999998</v>
      </c>
      <c r="E17" t="s">
        <v>53</v>
      </c>
    </row>
    <row r="18" spans="1:6" x14ac:dyDescent="0.25">
      <c r="A18" t="s">
        <v>123</v>
      </c>
      <c r="B18">
        <v>4</v>
      </c>
      <c r="C18" s="2">
        <v>2140606.5299999998</v>
      </c>
      <c r="D18" s="2">
        <v>2140606.5299999998</v>
      </c>
      <c r="E18" t="s">
        <v>53</v>
      </c>
    </row>
    <row r="19" spans="1:6" x14ac:dyDescent="0.25">
      <c r="A19" t="s">
        <v>123</v>
      </c>
      <c r="B19">
        <v>5</v>
      </c>
      <c r="C19" s="2">
        <v>2140606.5299999998</v>
      </c>
      <c r="D19" s="2">
        <v>2140606.5299999998</v>
      </c>
      <c r="E19" t="s">
        <v>53</v>
      </c>
    </row>
    <row r="20" spans="1:6" x14ac:dyDescent="0.25">
      <c r="A20" t="s">
        <v>123</v>
      </c>
      <c r="B20">
        <v>6</v>
      </c>
      <c r="C20" s="2">
        <v>2140606.5299999998</v>
      </c>
      <c r="D20" s="2">
        <v>2140606.5299999998</v>
      </c>
      <c r="E20" t="s">
        <v>53</v>
      </c>
    </row>
    <row r="21" spans="1:6" x14ac:dyDescent="0.25">
      <c r="A21" t="s">
        <v>123</v>
      </c>
      <c r="B21">
        <v>7</v>
      </c>
      <c r="C21" s="2">
        <v>2140606.5299999998</v>
      </c>
      <c r="D21" s="2">
        <v>2140606.5299999998</v>
      </c>
      <c r="E21" t="s">
        <v>53</v>
      </c>
    </row>
    <row r="22" spans="1:6" x14ac:dyDescent="0.25">
      <c r="A22" t="s">
        <v>123</v>
      </c>
      <c r="B22">
        <v>8</v>
      </c>
      <c r="C22" s="2">
        <v>2140606.5299999998</v>
      </c>
      <c r="E22" t="s">
        <v>54</v>
      </c>
      <c r="F22" t="s">
        <v>56</v>
      </c>
    </row>
    <row r="23" spans="1:6" x14ac:dyDescent="0.25">
      <c r="A23" t="s">
        <v>107</v>
      </c>
      <c r="B23">
        <v>1</v>
      </c>
      <c r="C23" s="2">
        <v>1198402.5600000001</v>
      </c>
      <c r="D23" s="2">
        <v>1198402.5600000001</v>
      </c>
      <c r="E23" t="s">
        <v>53</v>
      </c>
    </row>
    <row r="24" spans="1:6" x14ac:dyDescent="0.25">
      <c r="A24" t="s">
        <v>107</v>
      </c>
      <c r="B24">
        <v>2</v>
      </c>
      <c r="C24" s="2">
        <v>1198402.5600000001</v>
      </c>
      <c r="D24" s="2">
        <v>1198402.5600000001</v>
      </c>
      <c r="E24" t="s">
        <v>53</v>
      </c>
    </row>
    <row r="25" spans="1:6" x14ac:dyDescent="0.25">
      <c r="A25" t="s">
        <v>107</v>
      </c>
      <c r="B25">
        <v>3</v>
      </c>
      <c r="C25" s="2">
        <v>1198402.5600000001</v>
      </c>
      <c r="D25" s="2">
        <v>1198402.5600000001</v>
      </c>
      <c r="E25" t="s">
        <v>53</v>
      </c>
    </row>
    <row r="26" spans="1:6" x14ac:dyDescent="0.25">
      <c r="A26" t="s">
        <v>107</v>
      </c>
      <c r="B26">
        <v>4</v>
      </c>
      <c r="C26" s="2">
        <v>1198402.5600000001</v>
      </c>
      <c r="D26" s="2">
        <v>1198402.5600000001</v>
      </c>
      <c r="E26" t="s">
        <v>53</v>
      </c>
    </row>
    <row r="27" spans="1:6" x14ac:dyDescent="0.25">
      <c r="A27" t="s">
        <v>107</v>
      </c>
      <c r="B27">
        <v>5</v>
      </c>
      <c r="C27" s="2">
        <v>1198402.5600000001</v>
      </c>
      <c r="D27" s="2">
        <v>1198402.5600000001</v>
      </c>
      <c r="E27" t="s">
        <v>53</v>
      </c>
    </row>
    <row r="28" spans="1:6" x14ac:dyDescent="0.25">
      <c r="A28" t="s">
        <v>107</v>
      </c>
      <c r="B28">
        <v>6</v>
      </c>
      <c r="C28" s="2">
        <v>1198402.5600000001</v>
      </c>
      <c r="D28" s="2">
        <v>1198402.5600000001</v>
      </c>
      <c r="E28" t="s">
        <v>53</v>
      </c>
    </row>
    <row r="29" spans="1:6" x14ac:dyDescent="0.25">
      <c r="A29" t="s">
        <v>107</v>
      </c>
      <c r="B29">
        <v>7</v>
      </c>
      <c r="C29" s="2">
        <v>1198402.5600000001</v>
      </c>
      <c r="E29" t="s">
        <v>54</v>
      </c>
      <c r="F29" t="s">
        <v>57</v>
      </c>
    </row>
    <row r="30" spans="1:6" x14ac:dyDescent="0.25">
      <c r="A30" t="s">
        <v>107</v>
      </c>
      <c r="B30">
        <v>8</v>
      </c>
      <c r="C30" s="2">
        <v>1198402.5600000001</v>
      </c>
      <c r="E30" t="s">
        <v>54</v>
      </c>
    </row>
    <row r="31" spans="1:6" x14ac:dyDescent="0.25">
      <c r="A31" t="s">
        <v>113</v>
      </c>
      <c r="B31">
        <v>1</v>
      </c>
      <c r="C31" s="2">
        <v>4598922.4400000004</v>
      </c>
      <c r="D31" s="2">
        <v>4598922.4400000004</v>
      </c>
      <c r="E31" t="s">
        <v>53</v>
      </c>
    </row>
    <row r="32" spans="1:6" x14ac:dyDescent="0.25">
      <c r="A32" t="s">
        <v>113</v>
      </c>
      <c r="B32">
        <v>2</v>
      </c>
      <c r="C32" s="2">
        <v>4598922.4400000004</v>
      </c>
      <c r="D32" s="2">
        <v>4598922.4400000004</v>
      </c>
      <c r="E32" t="s">
        <v>53</v>
      </c>
    </row>
    <row r="33" spans="1:6" x14ac:dyDescent="0.25">
      <c r="A33" t="s">
        <v>113</v>
      </c>
      <c r="B33">
        <v>3</v>
      </c>
      <c r="C33" s="2">
        <v>4598922.4400000004</v>
      </c>
      <c r="D33" s="2">
        <v>4598922.4400000004</v>
      </c>
      <c r="E33" t="s">
        <v>53</v>
      </c>
    </row>
    <row r="34" spans="1:6" x14ac:dyDescent="0.25">
      <c r="A34" t="s">
        <v>113</v>
      </c>
      <c r="B34">
        <v>4</v>
      </c>
      <c r="C34" s="2">
        <v>4598922.4400000004</v>
      </c>
      <c r="D34" s="2">
        <v>4598922.4400000004</v>
      </c>
      <c r="E34" t="s">
        <v>53</v>
      </c>
    </row>
    <row r="35" spans="1:6" x14ac:dyDescent="0.25">
      <c r="A35" t="s">
        <v>113</v>
      </c>
      <c r="B35">
        <v>5</v>
      </c>
      <c r="C35" s="2">
        <v>4598922.4400000004</v>
      </c>
      <c r="E35" t="s">
        <v>54</v>
      </c>
      <c r="F35" t="s">
        <v>58</v>
      </c>
    </row>
    <row r="36" spans="1:6" x14ac:dyDescent="0.25">
      <c r="A36" t="s">
        <v>114</v>
      </c>
      <c r="B36">
        <v>1</v>
      </c>
      <c r="C36" s="2">
        <v>464005.33</v>
      </c>
      <c r="D36" s="2">
        <v>464005.33</v>
      </c>
      <c r="E36" t="s">
        <v>53</v>
      </c>
    </row>
    <row r="37" spans="1:6" x14ac:dyDescent="0.25">
      <c r="A37" t="s">
        <v>114</v>
      </c>
      <c r="B37">
        <v>2</v>
      </c>
      <c r="C37" s="2">
        <v>464005.33</v>
      </c>
      <c r="D37" s="2">
        <v>464005.33</v>
      </c>
      <c r="E37" t="s">
        <v>53</v>
      </c>
    </row>
    <row r="38" spans="1:6" x14ac:dyDescent="0.25">
      <c r="A38" t="s">
        <v>114</v>
      </c>
      <c r="B38">
        <v>3</v>
      </c>
      <c r="C38" s="2">
        <v>464005.33</v>
      </c>
      <c r="E38" t="s">
        <v>54</v>
      </c>
      <c r="F38" t="s">
        <v>59</v>
      </c>
    </row>
    <row r="39" spans="1:6" x14ac:dyDescent="0.25">
      <c r="A39" t="s">
        <v>129</v>
      </c>
      <c r="B39">
        <v>1</v>
      </c>
      <c r="C39" s="2">
        <v>250000</v>
      </c>
      <c r="D39" s="2">
        <v>250000</v>
      </c>
      <c r="E39" t="s">
        <v>53</v>
      </c>
    </row>
    <row r="40" spans="1:6" x14ac:dyDescent="0.25">
      <c r="A40" t="s">
        <v>129</v>
      </c>
      <c r="B40">
        <v>2</v>
      </c>
      <c r="C40" s="2">
        <v>250000</v>
      </c>
      <c r="D40" s="2">
        <v>250000</v>
      </c>
      <c r="E40" t="s">
        <v>53</v>
      </c>
    </row>
    <row r="41" spans="1:6" x14ac:dyDescent="0.25">
      <c r="A41" t="s">
        <v>130</v>
      </c>
      <c r="B41">
        <v>1</v>
      </c>
      <c r="C41" s="2">
        <v>250000</v>
      </c>
      <c r="D41" s="2">
        <v>250000</v>
      </c>
      <c r="E41" t="s">
        <v>53</v>
      </c>
    </row>
    <row r="42" spans="1:6" x14ac:dyDescent="0.25">
      <c r="A42" t="s">
        <v>130</v>
      </c>
      <c r="B42">
        <v>2</v>
      </c>
      <c r="C42" s="2">
        <v>250000</v>
      </c>
      <c r="D42" s="2">
        <v>250000</v>
      </c>
      <c r="E42" t="s">
        <v>53</v>
      </c>
    </row>
    <row r="43" spans="1:6" x14ac:dyDescent="0.25">
      <c r="A43" t="s">
        <v>116</v>
      </c>
      <c r="B43">
        <v>1</v>
      </c>
      <c r="C43" s="2">
        <v>1473325.6</v>
      </c>
      <c r="D43" s="2">
        <v>1473325.6</v>
      </c>
      <c r="E43" t="s">
        <v>53</v>
      </c>
    </row>
    <row r="44" spans="1:6" x14ac:dyDescent="0.25">
      <c r="A44" t="s">
        <v>116</v>
      </c>
      <c r="B44">
        <v>2</v>
      </c>
      <c r="C44" s="2">
        <v>1473325.6</v>
      </c>
      <c r="D44" s="2">
        <v>1473325.6</v>
      </c>
      <c r="E44" t="s">
        <v>53</v>
      </c>
    </row>
    <row r="45" spans="1:6" x14ac:dyDescent="0.25">
      <c r="A45" t="s">
        <v>116</v>
      </c>
      <c r="B45">
        <v>3</v>
      </c>
      <c r="C45" s="2">
        <v>1473325.6</v>
      </c>
      <c r="D45" s="2">
        <v>1473325.6</v>
      </c>
      <c r="E45" t="s">
        <v>53</v>
      </c>
    </row>
    <row r="46" spans="1:6" x14ac:dyDescent="0.25">
      <c r="A46" t="s">
        <v>116</v>
      </c>
      <c r="B46">
        <v>4</v>
      </c>
      <c r="C46" s="2">
        <v>1473325.6</v>
      </c>
      <c r="D46" s="2">
        <v>1473325.6</v>
      </c>
      <c r="E46" t="s">
        <v>53</v>
      </c>
    </row>
    <row r="47" spans="1:6" x14ac:dyDescent="0.25">
      <c r="A47" t="s">
        <v>116</v>
      </c>
      <c r="B47">
        <v>5</v>
      </c>
      <c r="C47" s="2">
        <v>1473325.6</v>
      </c>
      <c r="D47" s="2">
        <v>1473325.6</v>
      </c>
      <c r="E47" t="s">
        <v>53</v>
      </c>
    </row>
    <row r="48" spans="1:6" x14ac:dyDescent="0.25">
      <c r="A48" t="s">
        <v>125</v>
      </c>
      <c r="B48">
        <v>1</v>
      </c>
      <c r="C48" s="2">
        <v>941635.57</v>
      </c>
      <c r="D48" s="2">
        <v>941635.57</v>
      </c>
      <c r="E48" t="s">
        <v>53</v>
      </c>
    </row>
    <row r="49" spans="1:6" x14ac:dyDescent="0.25">
      <c r="A49" t="s">
        <v>125</v>
      </c>
      <c r="B49">
        <v>2</v>
      </c>
      <c r="C49" s="2">
        <v>941635.57</v>
      </c>
      <c r="D49" s="2">
        <v>941635.57</v>
      </c>
      <c r="E49" t="s">
        <v>53</v>
      </c>
    </row>
    <row r="50" spans="1:6" x14ac:dyDescent="0.25">
      <c r="A50" t="s">
        <v>125</v>
      </c>
      <c r="B50">
        <v>3</v>
      </c>
      <c r="C50" s="2">
        <v>941635.57</v>
      </c>
      <c r="D50" s="2">
        <v>941635.57</v>
      </c>
      <c r="E50" t="s">
        <v>53</v>
      </c>
    </row>
    <row r="51" spans="1:6" x14ac:dyDescent="0.25">
      <c r="A51" t="s">
        <v>125</v>
      </c>
      <c r="B51">
        <v>4</v>
      </c>
      <c r="C51" s="2">
        <v>941635.57</v>
      </c>
      <c r="D51" s="2">
        <v>941635.57</v>
      </c>
      <c r="E51" t="s">
        <v>53</v>
      </c>
    </row>
    <row r="52" spans="1:6" x14ac:dyDescent="0.25">
      <c r="A52" t="s">
        <v>125</v>
      </c>
      <c r="B52">
        <v>5</v>
      </c>
      <c r="C52" s="2">
        <v>941635.57</v>
      </c>
      <c r="E52" t="s">
        <v>54</v>
      </c>
    </row>
    <row r="53" spans="1:6" x14ac:dyDescent="0.25">
      <c r="A53" t="s">
        <v>125</v>
      </c>
      <c r="B53">
        <v>6</v>
      </c>
      <c r="C53" s="2">
        <v>941635.57</v>
      </c>
      <c r="E53" t="s">
        <v>54</v>
      </c>
      <c r="F53" t="s">
        <v>56</v>
      </c>
    </row>
    <row r="54" spans="1:6" x14ac:dyDescent="0.25">
      <c r="A54" t="s">
        <v>136</v>
      </c>
      <c r="B54">
        <v>1</v>
      </c>
      <c r="C54" s="2">
        <v>2993434.29</v>
      </c>
      <c r="D54" s="2">
        <v>2993434.29</v>
      </c>
      <c r="E54" t="s">
        <v>53</v>
      </c>
    </row>
    <row r="55" spans="1:6" x14ac:dyDescent="0.25">
      <c r="A55" t="s">
        <v>136</v>
      </c>
      <c r="B55">
        <v>2</v>
      </c>
      <c r="C55" s="2">
        <v>2993434.29</v>
      </c>
      <c r="D55" s="2">
        <v>2993434.29</v>
      </c>
      <c r="E55" t="s">
        <v>53</v>
      </c>
    </row>
    <row r="56" spans="1:6" x14ac:dyDescent="0.25">
      <c r="A56" t="s">
        <v>136</v>
      </c>
      <c r="B56">
        <v>3</v>
      </c>
      <c r="C56" s="2">
        <v>2993434.29</v>
      </c>
      <c r="D56" s="2">
        <v>2993434.29</v>
      </c>
      <c r="E56" t="s">
        <v>53</v>
      </c>
    </row>
    <row r="57" spans="1:6" x14ac:dyDescent="0.25">
      <c r="A57" t="s">
        <v>136</v>
      </c>
      <c r="B57">
        <v>4</v>
      </c>
      <c r="C57" s="2">
        <v>2993434.29</v>
      </c>
      <c r="D57" s="2">
        <v>2993434.29</v>
      </c>
      <c r="E57" t="s">
        <v>53</v>
      </c>
    </row>
    <row r="58" spans="1:6" x14ac:dyDescent="0.25">
      <c r="A58" t="s">
        <v>141</v>
      </c>
      <c r="B58">
        <v>1</v>
      </c>
      <c r="C58" s="2">
        <v>2209930.54</v>
      </c>
      <c r="D58" s="2">
        <v>2209930.54</v>
      </c>
      <c r="E58" t="s">
        <v>53</v>
      </c>
    </row>
    <row r="59" spans="1:6" x14ac:dyDescent="0.25">
      <c r="A59" t="s">
        <v>141</v>
      </c>
      <c r="B59">
        <v>2</v>
      </c>
      <c r="C59" s="2">
        <v>2209930.54</v>
      </c>
      <c r="D59" s="2">
        <v>2209930.54</v>
      </c>
      <c r="E59" t="s">
        <v>53</v>
      </c>
    </row>
    <row r="60" spans="1:6" x14ac:dyDescent="0.25">
      <c r="A60" t="s">
        <v>141</v>
      </c>
      <c r="B60">
        <v>3</v>
      </c>
      <c r="C60" s="2">
        <v>2209930.54</v>
      </c>
      <c r="D60" s="2">
        <v>2209930.54</v>
      </c>
      <c r="E60" t="s">
        <v>53</v>
      </c>
    </row>
    <row r="61" spans="1:6" x14ac:dyDescent="0.25">
      <c r="A61" t="s">
        <v>141</v>
      </c>
      <c r="B61">
        <v>4</v>
      </c>
      <c r="C61" s="2">
        <v>2209930.54</v>
      </c>
      <c r="E61" t="s">
        <v>54</v>
      </c>
      <c r="F61" t="s">
        <v>59</v>
      </c>
    </row>
    <row r="62" spans="1:6" x14ac:dyDescent="0.25">
      <c r="A62" t="s">
        <v>134</v>
      </c>
      <c r="B62">
        <v>1</v>
      </c>
      <c r="C62" s="2">
        <v>134390.48000000001</v>
      </c>
      <c r="D62" s="2">
        <v>134390.48000000001</v>
      </c>
      <c r="E62" t="s">
        <v>53</v>
      </c>
    </row>
    <row r="63" spans="1:6" x14ac:dyDescent="0.25">
      <c r="A63" t="s">
        <v>134</v>
      </c>
      <c r="B63">
        <v>2</v>
      </c>
      <c r="C63" s="2">
        <v>134390.48000000001</v>
      </c>
      <c r="D63" s="2">
        <v>134390.48000000001</v>
      </c>
      <c r="E63" t="s">
        <v>53</v>
      </c>
    </row>
    <row r="64" spans="1:6" x14ac:dyDescent="0.25">
      <c r="A64" t="s">
        <v>134</v>
      </c>
      <c r="B64">
        <v>3</v>
      </c>
      <c r="C64" s="2">
        <v>134390.48000000001</v>
      </c>
      <c r="E64" t="s">
        <v>54</v>
      </c>
      <c r="F64" t="s">
        <v>60</v>
      </c>
    </row>
    <row r="65" spans="1:6" x14ac:dyDescent="0.25">
      <c r="A65" t="s">
        <v>139</v>
      </c>
      <c r="B65">
        <v>1</v>
      </c>
      <c r="C65" s="2">
        <v>600000</v>
      </c>
      <c r="D65" s="2">
        <v>600000</v>
      </c>
      <c r="E65" t="s">
        <v>53</v>
      </c>
    </row>
    <row r="66" spans="1:6" x14ac:dyDescent="0.25">
      <c r="A66" t="s">
        <v>139</v>
      </c>
      <c r="B66">
        <v>2</v>
      </c>
      <c r="C66" s="2">
        <v>600000</v>
      </c>
      <c r="D66" s="2">
        <v>600000</v>
      </c>
      <c r="E66" t="s">
        <v>53</v>
      </c>
    </row>
    <row r="67" spans="1:6" x14ac:dyDescent="0.25">
      <c r="A67" t="s">
        <v>139</v>
      </c>
      <c r="B67">
        <v>3</v>
      </c>
      <c r="C67" s="2">
        <v>600000</v>
      </c>
      <c r="D67" s="2">
        <v>600000</v>
      </c>
      <c r="E67" t="s">
        <v>53</v>
      </c>
    </row>
    <row r="68" spans="1:6" x14ac:dyDescent="0.25">
      <c r="A68" t="s">
        <v>131</v>
      </c>
      <c r="B68">
        <v>1</v>
      </c>
      <c r="C68" s="2">
        <v>855664.06</v>
      </c>
      <c r="D68" s="2">
        <v>855664.06</v>
      </c>
      <c r="E68" t="s">
        <v>53</v>
      </c>
    </row>
    <row r="69" spans="1:6" x14ac:dyDescent="0.25">
      <c r="A69" t="s">
        <v>131</v>
      </c>
      <c r="B69">
        <v>2</v>
      </c>
      <c r="C69" s="2">
        <v>855664.06</v>
      </c>
      <c r="D69" s="2">
        <v>855664.06</v>
      </c>
      <c r="E69" t="s">
        <v>53</v>
      </c>
    </row>
    <row r="70" spans="1:6" x14ac:dyDescent="0.25">
      <c r="A70" t="s">
        <v>131</v>
      </c>
      <c r="B70">
        <v>3</v>
      </c>
      <c r="C70" s="2">
        <v>855664.06</v>
      </c>
      <c r="D70" s="2">
        <v>855664.06</v>
      </c>
      <c r="E70" t="s">
        <v>53</v>
      </c>
    </row>
    <row r="71" spans="1:6" x14ac:dyDescent="0.25">
      <c r="A71" t="s">
        <v>131</v>
      </c>
      <c r="B71">
        <v>4</v>
      </c>
      <c r="C71" s="2">
        <v>855664.06</v>
      </c>
      <c r="D71" s="2">
        <v>855664.06</v>
      </c>
      <c r="E71" t="s">
        <v>53</v>
      </c>
    </row>
    <row r="72" spans="1:6" x14ac:dyDescent="0.25">
      <c r="A72" t="s">
        <v>131</v>
      </c>
      <c r="B72">
        <v>5</v>
      </c>
      <c r="C72" s="2">
        <v>855664.06</v>
      </c>
      <c r="E72" t="s">
        <v>54</v>
      </c>
      <c r="F72" t="s">
        <v>56</v>
      </c>
    </row>
    <row r="73" spans="1:6" x14ac:dyDescent="0.25">
      <c r="A73" t="s">
        <v>119</v>
      </c>
      <c r="B73">
        <v>1</v>
      </c>
      <c r="C73" s="2">
        <v>200860.2</v>
      </c>
      <c r="D73" s="2">
        <v>200860.2</v>
      </c>
      <c r="E73" t="s">
        <v>53</v>
      </c>
    </row>
    <row r="74" spans="1:6" x14ac:dyDescent="0.25">
      <c r="A74" t="s">
        <v>128</v>
      </c>
      <c r="B74">
        <v>1</v>
      </c>
      <c r="C74" s="2">
        <v>410305.24</v>
      </c>
      <c r="D74" s="2">
        <v>410305.24</v>
      </c>
      <c r="E74" t="s">
        <v>53</v>
      </c>
    </row>
    <row r="75" spans="1:6" x14ac:dyDescent="0.25">
      <c r="A75" t="s">
        <v>128</v>
      </c>
      <c r="B75">
        <v>2</v>
      </c>
      <c r="C75" s="2">
        <v>410305.24</v>
      </c>
      <c r="D75" s="2">
        <v>410305.24</v>
      </c>
      <c r="E75" t="s">
        <v>53</v>
      </c>
    </row>
    <row r="76" spans="1:6" x14ac:dyDescent="0.25">
      <c r="A76" t="s">
        <v>128</v>
      </c>
      <c r="B76">
        <v>3</v>
      </c>
      <c r="C76" s="2">
        <v>410305.24</v>
      </c>
      <c r="D76" s="2">
        <v>410305.24</v>
      </c>
      <c r="E76" t="s">
        <v>53</v>
      </c>
    </row>
    <row r="77" spans="1:6" x14ac:dyDescent="0.25">
      <c r="A77" t="s">
        <v>128</v>
      </c>
      <c r="B77">
        <v>4</v>
      </c>
      <c r="C77" s="2">
        <v>410305.24</v>
      </c>
      <c r="E77" t="s">
        <v>54</v>
      </c>
      <c r="F77" t="s">
        <v>61</v>
      </c>
    </row>
    <row r="78" spans="1:6" x14ac:dyDescent="0.25">
      <c r="A78" t="s">
        <v>106</v>
      </c>
      <c r="B78">
        <v>1</v>
      </c>
      <c r="C78" s="2">
        <v>990000</v>
      </c>
      <c r="D78" s="2">
        <v>990000</v>
      </c>
      <c r="E78" t="s">
        <v>53</v>
      </c>
    </row>
    <row r="79" spans="1:6" x14ac:dyDescent="0.25">
      <c r="A79" t="s">
        <v>106</v>
      </c>
      <c r="B79">
        <v>2</v>
      </c>
      <c r="C79" s="2">
        <v>990000</v>
      </c>
      <c r="D79" s="2">
        <v>990000</v>
      </c>
      <c r="E79" t="s">
        <v>53</v>
      </c>
    </row>
    <row r="80" spans="1:6" x14ac:dyDescent="0.25">
      <c r="A80" t="s">
        <v>106</v>
      </c>
      <c r="B80">
        <v>3</v>
      </c>
      <c r="C80" s="2">
        <v>990000</v>
      </c>
      <c r="D80" s="2">
        <v>990000</v>
      </c>
      <c r="E80" t="s">
        <v>53</v>
      </c>
    </row>
    <row r="81" spans="1:6" x14ac:dyDescent="0.25">
      <c r="A81" t="s">
        <v>106</v>
      </c>
      <c r="B81">
        <v>4</v>
      </c>
      <c r="C81" s="2">
        <v>990000</v>
      </c>
      <c r="D81" s="2">
        <v>990000</v>
      </c>
      <c r="E81" t="s">
        <v>53</v>
      </c>
    </row>
    <row r="82" spans="1:6" x14ac:dyDescent="0.25">
      <c r="A82" t="s">
        <v>117</v>
      </c>
      <c r="B82">
        <v>1</v>
      </c>
      <c r="C82" s="2">
        <v>1880137.81</v>
      </c>
      <c r="D82" s="2">
        <v>1880137.81</v>
      </c>
      <c r="E82" t="s">
        <v>53</v>
      </c>
    </row>
    <row r="83" spans="1:6" x14ac:dyDescent="0.25">
      <c r="A83" t="s">
        <v>117</v>
      </c>
      <c r="B83">
        <v>2</v>
      </c>
      <c r="C83" s="2">
        <v>1880137.81</v>
      </c>
      <c r="D83" s="2">
        <v>1880137.81</v>
      </c>
      <c r="E83" t="s">
        <v>53</v>
      </c>
    </row>
    <row r="84" spans="1:6" x14ac:dyDescent="0.25">
      <c r="A84" t="s">
        <v>117</v>
      </c>
      <c r="B84">
        <v>3</v>
      </c>
      <c r="C84" s="2">
        <v>1880137.81</v>
      </c>
      <c r="D84" s="2">
        <v>1880137.81</v>
      </c>
      <c r="E84" t="s">
        <v>53</v>
      </c>
    </row>
    <row r="85" spans="1:6" x14ac:dyDescent="0.25">
      <c r="A85" t="s">
        <v>117</v>
      </c>
      <c r="B85">
        <v>4</v>
      </c>
      <c r="C85" s="2">
        <v>1880137.81</v>
      </c>
      <c r="D85" s="2">
        <v>1880137.81</v>
      </c>
      <c r="E85" t="s">
        <v>53</v>
      </c>
    </row>
    <row r="86" spans="1:6" x14ac:dyDescent="0.25">
      <c r="A86" t="s">
        <v>117</v>
      </c>
      <c r="B86">
        <v>5</v>
      </c>
      <c r="C86" s="2">
        <v>1880137.81</v>
      </c>
      <c r="D86" s="2">
        <v>1880137.81</v>
      </c>
      <c r="E86" t="s">
        <v>53</v>
      </c>
    </row>
    <row r="87" spans="1:6" x14ac:dyDescent="0.25">
      <c r="A87" t="s">
        <v>117</v>
      </c>
      <c r="B87">
        <v>6</v>
      </c>
      <c r="C87" s="2">
        <v>1880137.81</v>
      </c>
      <c r="E87" t="s">
        <v>54</v>
      </c>
      <c r="F87" t="s">
        <v>59</v>
      </c>
    </row>
    <row r="88" spans="1:6" x14ac:dyDescent="0.25">
      <c r="A88" t="s">
        <v>127</v>
      </c>
      <c r="B88">
        <v>1</v>
      </c>
      <c r="C88" s="2">
        <v>328423.7</v>
      </c>
      <c r="D88" s="2">
        <v>328423.7</v>
      </c>
      <c r="E88" t="s">
        <v>53</v>
      </c>
    </row>
    <row r="89" spans="1:6" x14ac:dyDescent="0.25">
      <c r="A89" t="s">
        <v>127</v>
      </c>
      <c r="B89">
        <v>2</v>
      </c>
      <c r="C89" s="2">
        <v>328423.7</v>
      </c>
      <c r="D89" s="2">
        <v>328423.7</v>
      </c>
      <c r="E89" t="s">
        <v>53</v>
      </c>
    </row>
    <row r="90" spans="1:6" x14ac:dyDescent="0.25">
      <c r="A90" t="s">
        <v>127</v>
      </c>
      <c r="B90">
        <v>3</v>
      </c>
      <c r="C90" s="2">
        <v>328423.7</v>
      </c>
      <c r="D90" s="2">
        <v>328423.7</v>
      </c>
      <c r="E90" t="s">
        <v>53</v>
      </c>
    </row>
    <row r="91" spans="1:6" x14ac:dyDescent="0.25">
      <c r="A91" t="s">
        <v>127</v>
      </c>
      <c r="B91">
        <v>4</v>
      </c>
      <c r="C91" s="2">
        <v>328423.7</v>
      </c>
      <c r="E91" t="s">
        <v>54</v>
      </c>
      <c r="F91" t="s">
        <v>59</v>
      </c>
    </row>
    <row r="92" spans="1:6" x14ac:dyDescent="0.25">
      <c r="A92" t="s">
        <v>142</v>
      </c>
      <c r="B92">
        <v>1</v>
      </c>
      <c r="C92" s="2">
        <v>3988000.04</v>
      </c>
      <c r="D92" s="2">
        <v>3988000.04</v>
      </c>
      <c r="E92" t="s">
        <v>53</v>
      </c>
    </row>
    <row r="93" spans="1:6" x14ac:dyDescent="0.25">
      <c r="A93" t="s">
        <v>142</v>
      </c>
      <c r="B93">
        <v>2</v>
      </c>
      <c r="C93" s="2">
        <v>3988000.04</v>
      </c>
      <c r="D93" s="2">
        <v>3988000.04</v>
      </c>
      <c r="E93" t="s">
        <v>53</v>
      </c>
    </row>
    <row r="94" spans="1:6" x14ac:dyDescent="0.25">
      <c r="A94" t="s">
        <v>142</v>
      </c>
      <c r="B94">
        <v>3</v>
      </c>
      <c r="C94" s="2">
        <v>3988000.04</v>
      </c>
      <c r="D94" s="2">
        <v>3988000.04</v>
      </c>
      <c r="E94" t="s">
        <v>53</v>
      </c>
    </row>
    <row r="95" spans="1:6" x14ac:dyDescent="0.25">
      <c r="A95" t="s">
        <v>142</v>
      </c>
      <c r="B95">
        <v>4</v>
      </c>
      <c r="C95" s="2">
        <v>3988000.04</v>
      </c>
      <c r="D95" s="2">
        <v>3988000.04</v>
      </c>
      <c r="E95" t="s">
        <v>53</v>
      </c>
    </row>
    <row r="96" spans="1:6" x14ac:dyDescent="0.25">
      <c r="A96" t="s">
        <v>142</v>
      </c>
      <c r="B96">
        <v>5</v>
      </c>
      <c r="C96" s="2">
        <v>3988000.04</v>
      </c>
      <c r="D96" s="2">
        <v>3988000.04</v>
      </c>
      <c r="E96" t="s">
        <v>53</v>
      </c>
    </row>
    <row r="97" spans="1:6" x14ac:dyDescent="0.25">
      <c r="A97" t="s">
        <v>142</v>
      </c>
      <c r="B97">
        <v>6</v>
      </c>
      <c r="C97" s="2">
        <v>3988000.04</v>
      </c>
      <c r="E97" t="s">
        <v>62</v>
      </c>
      <c r="F97" t="s">
        <v>63</v>
      </c>
    </row>
    <row r="98" spans="1:6" x14ac:dyDescent="0.25">
      <c r="A98" t="s">
        <v>142</v>
      </c>
      <c r="B98">
        <v>7</v>
      </c>
      <c r="C98" s="2">
        <v>5385600.0199999996</v>
      </c>
      <c r="E98" t="s">
        <v>62</v>
      </c>
    </row>
    <row r="99" spans="1:6" x14ac:dyDescent="0.25">
      <c r="A99" t="s">
        <v>126</v>
      </c>
      <c r="B99">
        <v>1</v>
      </c>
      <c r="C99" s="2">
        <v>144000</v>
      </c>
      <c r="D99" s="2">
        <v>144000</v>
      </c>
      <c r="E99" t="s">
        <v>53</v>
      </c>
    </row>
    <row r="100" spans="1:6" x14ac:dyDescent="0.25">
      <c r="A100" t="s">
        <v>126</v>
      </c>
      <c r="B100">
        <v>2</v>
      </c>
      <c r="C100" s="2">
        <v>144000</v>
      </c>
      <c r="E100" t="s">
        <v>62</v>
      </c>
      <c r="F100" t="s">
        <v>59</v>
      </c>
    </row>
    <row r="101" spans="1:6" x14ac:dyDescent="0.25">
      <c r="A101" t="s">
        <v>122</v>
      </c>
      <c r="B101">
        <v>1</v>
      </c>
      <c r="C101" s="2">
        <v>2965467.43</v>
      </c>
      <c r="D101" s="2">
        <v>2965467.43</v>
      </c>
      <c r="E101" t="s">
        <v>53</v>
      </c>
    </row>
    <row r="102" spans="1:6" x14ac:dyDescent="0.25">
      <c r="A102" t="s">
        <v>122</v>
      </c>
      <c r="B102">
        <v>2</v>
      </c>
      <c r="C102" s="2">
        <v>2965467.43</v>
      </c>
      <c r="D102" s="2">
        <v>2965467.43</v>
      </c>
      <c r="E102" t="s">
        <v>53</v>
      </c>
    </row>
    <row r="103" spans="1:6" x14ac:dyDescent="0.25">
      <c r="A103" t="s">
        <v>122</v>
      </c>
      <c r="B103">
        <v>3</v>
      </c>
      <c r="C103" s="2">
        <v>2965467.43</v>
      </c>
      <c r="D103" s="2">
        <v>2965467.43</v>
      </c>
      <c r="E103" t="s">
        <v>53</v>
      </c>
    </row>
    <row r="104" spans="1:6" x14ac:dyDescent="0.25">
      <c r="A104" t="s">
        <v>122</v>
      </c>
      <c r="B104">
        <v>4</v>
      </c>
      <c r="C104" s="2">
        <v>2965467.43</v>
      </c>
      <c r="D104" s="2">
        <v>2965467.43</v>
      </c>
      <c r="E104" t="s">
        <v>53</v>
      </c>
    </row>
    <row r="105" spans="1:6" x14ac:dyDescent="0.25">
      <c r="A105" t="s">
        <v>122</v>
      </c>
      <c r="B105">
        <v>5</v>
      </c>
      <c r="C105" s="2">
        <v>2965467.43</v>
      </c>
      <c r="E105" t="s">
        <v>62</v>
      </c>
    </row>
    <row r="106" spans="1:6" x14ac:dyDescent="0.25">
      <c r="A106" t="s">
        <v>122</v>
      </c>
      <c r="B106">
        <v>6</v>
      </c>
      <c r="C106" s="2">
        <v>2965467.43</v>
      </c>
      <c r="E106" t="s">
        <v>62</v>
      </c>
      <c r="F106" t="s">
        <v>63</v>
      </c>
    </row>
    <row r="107" spans="1:6" x14ac:dyDescent="0.25">
      <c r="A107" t="s">
        <v>137</v>
      </c>
      <c r="B107">
        <v>1</v>
      </c>
      <c r="C107" s="2">
        <v>521425.52</v>
      </c>
      <c r="D107" s="2">
        <v>521425.52</v>
      </c>
      <c r="E107" t="s">
        <v>53</v>
      </c>
    </row>
    <row r="108" spans="1:6" x14ac:dyDescent="0.25">
      <c r="A108" t="s">
        <v>137</v>
      </c>
      <c r="B108">
        <v>2</v>
      </c>
      <c r="C108" s="2">
        <v>521425.52</v>
      </c>
      <c r="D108" s="2">
        <v>521425.52</v>
      </c>
      <c r="E108" t="s">
        <v>53</v>
      </c>
    </row>
    <row r="109" spans="1:6" x14ac:dyDescent="0.25">
      <c r="A109" t="s">
        <v>137</v>
      </c>
      <c r="B109">
        <v>3</v>
      </c>
      <c r="C109" s="2">
        <v>521425.52</v>
      </c>
      <c r="D109" s="2">
        <v>521425.52</v>
      </c>
      <c r="E109" t="s">
        <v>53</v>
      </c>
    </row>
    <row r="110" spans="1:6" x14ac:dyDescent="0.25">
      <c r="A110" t="s">
        <v>137</v>
      </c>
      <c r="B110">
        <v>4</v>
      </c>
      <c r="C110" s="2">
        <v>521425.52</v>
      </c>
      <c r="D110" s="2">
        <v>521425.52</v>
      </c>
      <c r="E110" t="s">
        <v>53</v>
      </c>
    </row>
    <row r="111" spans="1:6" x14ac:dyDescent="0.25">
      <c r="A111" t="s">
        <v>137</v>
      </c>
      <c r="B111">
        <v>5</v>
      </c>
      <c r="C111" s="2">
        <v>521425.52</v>
      </c>
      <c r="D111" s="2">
        <v>521425.52</v>
      </c>
      <c r="E111" t="s">
        <v>53</v>
      </c>
    </row>
    <row r="112" spans="1:6" x14ac:dyDescent="0.25">
      <c r="A112" t="s">
        <v>137</v>
      </c>
      <c r="B112">
        <v>6</v>
      </c>
      <c r="C112" s="2">
        <v>521425.52</v>
      </c>
      <c r="D112" s="2">
        <v>521425.52</v>
      </c>
      <c r="E112" t="s">
        <v>53</v>
      </c>
    </row>
    <row r="113" spans="1:6" x14ac:dyDescent="0.25">
      <c r="A113" t="s">
        <v>137</v>
      </c>
      <c r="B113">
        <v>7</v>
      </c>
      <c r="C113" s="2">
        <v>521425.52</v>
      </c>
      <c r="E113" t="s">
        <v>54</v>
      </c>
    </row>
    <row r="114" spans="1:6" x14ac:dyDescent="0.25">
      <c r="A114" t="s">
        <v>137</v>
      </c>
      <c r="B114">
        <v>8</v>
      </c>
      <c r="C114" s="2">
        <v>521425.52</v>
      </c>
      <c r="E114" t="s">
        <v>54</v>
      </c>
      <c r="F114" t="s">
        <v>59</v>
      </c>
    </row>
    <row r="115" spans="1:6" x14ac:dyDescent="0.25">
      <c r="A115" t="s">
        <v>138</v>
      </c>
      <c r="B115">
        <v>1</v>
      </c>
      <c r="C115" s="2">
        <v>480000</v>
      </c>
      <c r="D115" s="2">
        <v>480000</v>
      </c>
      <c r="E115" t="s">
        <v>53</v>
      </c>
    </row>
    <row r="116" spans="1:6" x14ac:dyDescent="0.25">
      <c r="A116" t="s">
        <v>138</v>
      </c>
      <c r="B116">
        <v>2</v>
      </c>
      <c r="C116" s="2">
        <v>480000</v>
      </c>
      <c r="D116" s="2">
        <v>480000</v>
      </c>
      <c r="E116" t="s">
        <v>53</v>
      </c>
    </row>
    <row r="117" spans="1:6" x14ac:dyDescent="0.25">
      <c r="A117" t="s">
        <v>138</v>
      </c>
      <c r="B117">
        <v>3</v>
      </c>
      <c r="C117" s="2">
        <v>480000</v>
      </c>
      <c r="D117" s="2">
        <v>480000</v>
      </c>
      <c r="E117" t="s">
        <v>53</v>
      </c>
    </row>
    <row r="118" spans="1:6" x14ac:dyDescent="0.25">
      <c r="A118" t="s">
        <v>138</v>
      </c>
      <c r="B118">
        <v>4</v>
      </c>
      <c r="C118" s="2">
        <v>480000</v>
      </c>
      <c r="E118" t="s">
        <v>62</v>
      </c>
    </row>
    <row r="119" spans="1:6" x14ac:dyDescent="0.25">
      <c r="A119" t="s">
        <v>138</v>
      </c>
      <c r="B119">
        <v>5</v>
      </c>
      <c r="C119" s="2">
        <v>480000</v>
      </c>
      <c r="E119" t="s">
        <v>62</v>
      </c>
      <c r="F119" t="s">
        <v>64</v>
      </c>
    </row>
    <row r="120" spans="1:6" x14ac:dyDescent="0.25">
      <c r="A120" t="s">
        <v>111</v>
      </c>
      <c r="B120">
        <v>1</v>
      </c>
      <c r="C120" s="2">
        <v>3241338.27</v>
      </c>
      <c r="D120" s="2">
        <v>3241338.27</v>
      </c>
      <c r="E120" t="s">
        <v>53</v>
      </c>
    </row>
    <row r="121" spans="1:6" x14ac:dyDescent="0.25">
      <c r="A121" t="s">
        <v>111</v>
      </c>
      <c r="B121">
        <v>2</v>
      </c>
      <c r="C121" s="2">
        <v>3241338.27</v>
      </c>
      <c r="D121" s="2">
        <v>3241338.27</v>
      </c>
      <c r="E121" t="s">
        <v>53</v>
      </c>
    </row>
    <row r="122" spans="1:6" x14ac:dyDescent="0.25">
      <c r="A122" t="s">
        <v>111</v>
      </c>
      <c r="B122">
        <v>3</v>
      </c>
      <c r="C122" s="2">
        <v>3241338.27</v>
      </c>
      <c r="D122" s="2">
        <v>3241338.27</v>
      </c>
      <c r="E122" t="s">
        <v>53</v>
      </c>
    </row>
    <row r="123" spans="1:6" x14ac:dyDescent="0.25">
      <c r="A123" t="s">
        <v>110</v>
      </c>
      <c r="B123">
        <v>1</v>
      </c>
      <c r="C123" s="2">
        <v>238943.16</v>
      </c>
      <c r="D123" s="2">
        <v>238943.16</v>
      </c>
      <c r="E123" t="s">
        <v>53</v>
      </c>
    </row>
    <row r="124" spans="1:6" x14ac:dyDescent="0.25">
      <c r="A124" t="s">
        <v>109</v>
      </c>
      <c r="B124">
        <v>1</v>
      </c>
      <c r="C124" s="2">
        <v>1615786.09</v>
      </c>
      <c r="D124" s="2">
        <v>1615786.09</v>
      </c>
      <c r="E124" t="s">
        <v>53</v>
      </c>
    </row>
    <row r="125" spans="1:6" x14ac:dyDescent="0.25">
      <c r="A125" t="s">
        <v>135</v>
      </c>
      <c r="B125">
        <v>1</v>
      </c>
      <c r="C125" s="2">
        <v>992349.34</v>
      </c>
      <c r="D125" s="2">
        <v>992349.34</v>
      </c>
      <c r="E125" t="s">
        <v>53</v>
      </c>
    </row>
    <row r="126" spans="1:6" x14ac:dyDescent="0.25">
      <c r="A126" t="s">
        <v>132</v>
      </c>
      <c r="B126">
        <v>1</v>
      </c>
      <c r="C126" s="2">
        <v>131846.39999999999</v>
      </c>
      <c r="D126" s="2">
        <v>131846.39999999999</v>
      </c>
      <c r="E126" t="s">
        <v>53</v>
      </c>
    </row>
    <row r="127" spans="1:6" x14ac:dyDescent="0.25">
      <c r="A127" t="s">
        <v>120</v>
      </c>
      <c r="B127">
        <v>1</v>
      </c>
      <c r="C127" s="2">
        <v>607929.73</v>
      </c>
      <c r="D127" s="2">
        <v>607929.73</v>
      </c>
      <c r="E127" t="s">
        <v>53</v>
      </c>
    </row>
    <row r="128" spans="1:6" x14ac:dyDescent="0.25">
      <c r="A128" t="s">
        <v>121</v>
      </c>
      <c r="B128">
        <v>1</v>
      </c>
      <c r="C128" s="2">
        <v>990812.45</v>
      </c>
      <c r="D128" s="2">
        <v>990812.45</v>
      </c>
      <c r="E128" t="s">
        <v>53</v>
      </c>
    </row>
    <row r="129" spans="1:6" x14ac:dyDescent="0.25">
      <c r="A129" t="s">
        <v>140</v>
      </c>
      <c r="B129">
        <v>1</v>
      </c>
      <c r="C129" s="2">
        <v>4094327.45</v>
      </c>
      <c r="D129" s="2">
        <v>4094327.45</v>
      </c>
      <c r="E129" t="s">
        <v>53</v>
      </c>
    </row>
    <row r="130" spans="1:6" x14ac:dyDescent="0.25">
      <c r="A130" t="s">
        <v>140</v>
      </c>
      <c r="B130">
        <v>2</v>
      </c>
      <c r="C130" s="2">
        <v>4094327.45</v>
      </c>
      <c r="E130" t="s">
        <v>54</v>
      </c>
      <c r="F130" t="s">
        <v>59</v>
      </c>
    </row>
    <row r="131" spans="1:6" x14ac:dyDescent="0.25">
      <c r="A131" t="s">
        <v>140</v>
      </c>
      <c r="B131">
        <v>3</v>
      </c>
      <c r="C131" s="2">
        <v>3306736.66</v>
      </c>
      <c r="E131" t="s">
        <v>54</v>
      </c>
    </row>
    <row r="132" spans="1:6" x14ac:dyDescent="0.25">
      <c r="A132" t="s">
        <v>140</v>
      </c>
      <c r="B132">
        <v>4</v>
      </c>
      <c r="C132" s="2">
        <v>2186682.88</v>
      </c>
      <c r="E132" t="s">
        <v>54</v>
      </c>
    </row>
    <row r="133" spans="1:6" x14ac:dyDescent="0.25">
      <c r="A133" t="s">
        <v>108</v>
      </c>
      <c r="B133">
        <v>1</v>
      </c>
      <c r="C133" s="2">
        <v>286440</v>
      </c>
      <c r="D133" s="2">
        <v>286440</v>
      </c>
      <c r="E133" t="s">
        <v>53</v>
      </c>
    </row>
    <row r="134" spans="1:6" x14ac:dyDescent="0.25">
      <c r="A134" t="s">
        <v>112</v>
      </c>
      <c r="B134">
        <v>1</v>
      </c>
      <c r="C134" s="2">
        <v>3000000</v>
      </c>
      <c r="D134" s="2">
        <v>3000000</v>
      </c>
      <c r="E134" t="s">
        <v>53</v>
      </c>
    </row>
    <row r="135" spans="1:6" x14ac:dyDescent="0.25">
      <c r="A135" t="s">
        <v>112</v>
      </c>
      <c r="B135">
        <v>2</v>
      </c>
      <c r="C135" s="2">
        <v>3000000</v>
      </c>
      <c r="D135" s="2">
        <v>3000000</v>
      </c>
      <c r="E135" t="s">
        <v>53</v>
      </c>
    </row>
    <row r="136" spans="1:6" x14ac:dyDescent="0.25">
      <c r="A136" t="s">
        <v>112</v>
      </c>
      <c r="B136">
        <v>3</v>
      </c>
      <c r="C136" s="2">
        <v>3000000</v>
      </c>
      <c r="D136" s="2">
        <v>3000000</v>
      </c>
      <c r="E136" t="s">
        <v>53</v>
      </c>
    </row>
    <row r="137" spans="1:6" x14ac:dyDescent="0.25">
      <c r="A137" t="s">
        <v>112</v>
      </c>
      <c r="B137">
        <v>4</v>
      </c>
      <c r="C137" s="2">
        <v>3000000</v>
      </c>
      <c r="D137" s="2">
        <v>3000000</v>
      </c>
      <c r="E137" t="s">
        <v>53</v>
      </c>
    </row>
    <row r="138" spans="1:6" x14ac:dyDescent="0.25">
      <c r="A138" t="s">
        <v>112</v>
      </c>
      <c r="B138">
        <v>5</v>
      </c>
      <c r="C138" s="2">
        <v>3000000</v>
      </c>
      <c r="D138" s="2">
        <v>3000000</v>
      </c>
      <c r="E138" t="s">
        <v>53</v>
      </c>
    </row>
    <row r="139" spans="1:6" x14ac:dyDescent="0.25">
      <c r="A139" t="s">
        <v>112</v>
      </c>
      <c r="B139">
        <v>6</v>
      </c>
      <c r="C139" s="2">
        <v>3000000</v>
      </c>
      <c r="D139" s="2">
        <v>3000000</v>
      </c>
      <c r="E139" t="s">
        <v>53</v>
      </c>
    </row>
    <row r="140" spans="1:6" x14ac:dyDescent="0.25">
      <c r="A140" t="s">
        <v>112</v>
      </c>
      <c r="B140">
        <v>7</v>
      </c>
      <c r="C140" s="2">
        <v>3000000</v>
      </c>
      <c r="E140" t="s">
        <v>54</v>
      </c>
      <c r="F140" t="s">
        <v>65</v>
      </c>
    </row>
    <row r="141" spans="1:6" x14ac:dyDescent="0.25">
      <c r="A141" t="s">
        <v>112</v>
      </c>
      <c r="B141">
        <v>8</v>
      </c>
      <c r="C141" s="2">
        <v>3000000</v>
      </c>
      <c r="E141" t="s">
        <v>54</v>
      </c>
    </row>
    <row r="142" spans="1:6" x14ac:dyDescent="0.25">
      <c r="A142" t="s">
        <v>112</v>
      </c>
      <c r="B142">
        <v>9</v>
      </c>
      <c r="C142" s="2">
        <v>3000000</v>
      </c>
      <c r="E142" t="s">
        <v>54</v>
      </c>
    </row>
    <row r="143" spans="1:6" x14ac:dyDescent="0.25">
      <c r="A143" t="s">
        <v>112</v>
      </c>
      <c r="B143">
        <v>10</v>
      </c>
      <c r="C143" s="2">
        <v>3000000</v>
      </c>
      <c r="E143" t="s">
        <v>54</v>
      </c>
    </row>
    <row r="144" spans="1:6" x14ac:dyDescent="0.25">
      <c r="A144" t="s">
        <v>115</v>
      </c>
      <c r="B144">
        <v>1</v>
      </c>
      <c r="C144" s="2">
        <v>100000</v>
      </c>
      <c r="E144" t="s">
        <v>54</v>
      </c>
      <c r="F144" t="s">
        <v>59</v>
      </c>
    </row>
    <row r="145" spans="1:6" x14ac:dyDescent="0.25">
      <c r="A145" t="s">
        <v>124</v>
      </c>
      <c r="B145">
        <v>1</v>
      </c>
      <c r="C145" s="2">
        <v>200000</v>
      </c>
      <c r="E145" t="s">
        <v>62</v>
      </c>
      <c r="F145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22FD-9402-4A42-B0B5-43D5855BA85F}">
  <dimension ref="A1:B44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2" max="2" width="30.7109375" bestFit="1" customWidth="1"/>
  </cols>
  <sheetData>
    <row r="1" spans="1:2" x14ac:dyDescent="0.25">
      <c r="A1" t="s">
        <v>3</v>
      </c>
      <c r="B1" t="s">
        <v>66</v>
      </c>
    </row>
    <row r="2" spans="1:2" x14ac:dyDescent="0.25">
      <c r="A2" t="s">
        <v>118</v>
      </c>
      <c r="B2" t="s">
        <v>67</v>
      </c>
    </row>
    <row r="3" spans="1:2" x14ac:dyDescent="0.25">
      <c r="A3" t="s">
        <v>118</v>
      </c>
      <c r="B3" t="s">
        <v>68</v>
      </c>
    </row>
    <row r="4" spans="1:2" x14ac:dyDescent="0.25">
      <c r="A4" t="s">
        <v>133</v>
      </c>
      <c r="B4" t="s">
        <v>69</v>
      </c>
    </row>
    <row r="5" spans="1:2" x14ac:dyDescent="0.25">
      <c r="A5" t="s">
        <v>123</v>
      </c>
      <c r="B5" t="s">
        <v>70</v>
      </c>
    </row>
    <row r="6" spans="1:2" x14ac:dyDescent="0.25">
      <c r="A6" t="s">
        <v>123</v>
      </c>
      <c r="B6" t="s">
        <v>71</v>
      </c>
    </row>
    <row r="7" spans="1:2" x14ac:dyDescent="0.25">
      <c r="A7" t="s">
        <v>107</v>
      </c>
      <c r="B7" t="s">
        <v>72</v>
      </c>
    </row>
    <row r="8" spans="1:2" x14ac:dyDescent="0.25">
      <c r="A8" t="s">
        <v>113</v>
      </c>
      <c r="B8" t="s">
        <v>73</v>
      </c>
    </row>
    <row r="9" spans="1:2" x14ac:dyDescent="0.25">
      <c r="A9" t="s">
        <v>114</v>
      </c>
      <c r="B9" t="s">
        <v>74</v>
      </c>
    </row>
    <row r="10" spans="1:2" x14ac:dyDescent="0.25">
      <c r="A10" t="s">
        <v>129</v>
      </c>
      <c r="B10" t="s">
        <v>75</v>
      </c>
    </row>
    <row r="11" spans="1:2" x14ac:dyDescent="0.25">
      <c r="A11" t="s">
        <v>130</v>
      </c>
      <c r="B11" t="s">
        <v>76</v>
      </c>
    </row>
    <row r="12" spans="1:2" x14ac:dyDescent="0.25">
      <c r="A12" t="s">
        <v>116</v>
      </c>
      <c r="B12" t="s">
        <v>77</v>
      </c>
    </row>
    <row r="13" spans="1:2" x14ac:dyDescent="0.25">
      <c r="A13" t="s">
        <v>125</v>
      </c>
      <c r="B13" t="s">
        <v>70</v>
      </c>
    </row>
    <row r="14" spans="1:2" x14ac:dyDescent="0.25">
      <c r="A14" t="s">
        <v>125</v>
      </c>
      <c r="B14" t="s">
        <v>78</v>
      </c>
    </row>
    <row r="15" spans="1:2" x14ac:dyDescent="0.25">
      <c r="A15" t="s">
        <v>136</v>
      </c>
      <c r="B15" t="s">
        <v>79</v>
      </c>
    </row>
    <row r="16" spans="1:2" x14ac:dyDescent="0.25">
      <c r="A16" t="s">
        <v>141</v>
      </c>
      <c r="B16" t="s">
        <v>70</v>
      </c>
    </row>
    <row r="17" spans="1:2" x14ac:dyDescent="0.25">
      <c r="A17" t="s">
        <v>141</v>
      </c>
      <c r="B17" t="s">
        <v>80</v>
      </c>
    </row>
    <row r="18" spans="1:2" x14ac:dyDescent="0.25">
      <c r="A18" t="s">
        <v>134</v>
      </c>
      <c r="B18" t="s">
        <v>81</v>
      </c>
    </row>
    <row r="19" spans="1:2" x14ac:dyDescent="0.25">
      <c r="A19" t="s">
        <v>139</v>
      </c>
      <c r="B19" t="s">
        <v>82</v>
      </c>
    </row>
    <row r="20" spans="1:2" x14ac:dyDescent="0.25">
      <c r="A20" t="s">
        <v>131</v>
      </c>
      <c r="B20" t="s">
        <v>83</v>
      </c>
    </row>
    <row r="21" spans="1:2" x14ac:dyDescent="0.25">
      <c r="A21" t="s">
        <v>131</v>
      </c>
      <c r="B21" t="s">
        <v>84</v>
      </c>
    </row>
    <row r="22" spans="1:2" x14ac:dyDescent="0.25">
      <c r="A22" t="s">
        <v>119</v>
      </c>
      <c r="B22" t="s">
        <v>69</v>
      </c>
    </row>
    <row r="23" spans="1:2" x14ac:dyDescent="0.25">
      <c r="A23" t="s">
        <v>128</v>
      </c>
      <c r="B23" t="s">
        <v>85</v>
      </c>
    </row>
    <row r="24" spans="1:2" x14ac:dyDescent="0.25">
      <c r="A24" t="s">
        <v>106</v>
      </c>
      <c r="B24" t="s">
        <v>86</v>
      </c>
    </row>
    <row r="25" spans="1:2" x14ac:dyDescent="0.25">
      <c r="A25" t="s">
        <v>117</v>
      </c>
      <c r="B25" t="s">
        <v>87</v>
      </c>
    </row>
    <row r="26" spans="1:2" x14ac:dyDescent="0.25">
      <c r="A26" t="s">
        <v>127</v>
      </c>
      <c r="B26" t="s">
        <v>88</v>
      </c>
    </row>
    <row r="27" spans="1:2" x14ac:dyDescent="0.25">
      <c r="A27" t="s">
        <v>142</v>
      </c>
      <c r="B27" t="s">
        <v>70</v>
      </c>
    </row>
    <row r="28" spans="1:2" x14ac:dyDescent="0.25">
      <c r="A28" t="s">
        <v>142</v>
      </c>
      <c r="B28" t="s">
        <v>89</v>
      </c>
    </row>
    <row r="29" spans="1:2" x14ac:dyDescent="0.25">
      <c r="A29" t="s">
        <v>126</v>
      </c>
      <c r="B29" t="s">
        <v>90</v>
      </c>
    </row>
    <row r="30" spans="1:2" x14ac:dyDescent="0.25">
      <c r="A30" t="s">
        <v>122</v>
      </c>
      <c r="B30" t="s">
        <v>91</v>
      </c>
    </row>
    <row r="31" spans="1:2" x14ac:dyDescent="0.25">
      <c r="A31" t="s">
        <v>137</v>
      </c>
      <c r="B31" t="s">
        <v>92</v>
      </c>
    </row>
    <row r="32" spans="1:2" x14ac:dyDescent="0.25">
      <c r="A32" t="s">
        <v>138</v>
      </c>
      <c r="B32" t="s">
        <v>93</v>
      </c>
    </row>
    <row r="33" spans="1:2" x14ac:dyDescent="0.25">
      <c r="A33" t="s">
        <v>111</v>
      </c>
      <c r="B33" t="s">
        <v>90</v>
      </c>
    </row>
    <row r="34" spans="1:2" x14ac:dyDescent="0.25">
      <c r="A34" t="s">
        <v>110</v>
      </c>
      <c r="B34" t="s">
        <v>94</v>
      </c>
    </row>
    <row r="35" spans="1:2" x14ac:dyDescent="0.25">
      <c r="A35" t="s">
        <v>109</v>
      </c>
      <c r="B35" t="s">
        <v>95</v>
      </c>
    </row>
    <row r="36" spans="1:2" x14ac:dyDescent="0.25">
      <c r="A36" t="s">
        <v>135</v>
      </c>
      <c r="B36" t="s">
        <v>90</v>
      </c>
    </row>
    <row r="37" spans="1:2" x14ac:dyDescent="0.25">
      <c r="A37" t="s">
        <v>132</v>
      </c>
      <c r="B37" t="s">
        <v>96</v>
      </c>
    </row>
    <row r="38" spans="1:2" x14ac:dyDescent="0.25">
      <c r="A38" t="s">
        <v>120</v>
      </c>
      <c r="B38" t="s">
        <v>97</v>
      </c>
    </row>
    <row r="39" spans="1:2" x14ac:dyDescent="0.25">
      <c r="A39" t="s">
        <v>121</v>
      </c>
      <c r="B39" t="s">
        <v>98</v>
      </c>
    </row>
    <row r="40" spans="1:2" x14ac:dyDescent="0.25">
      <c r="A40" t="s">
        <v>140</v>
      </c>
      <c r="B40" t="s">
        <v>99</v>
      </c>
    </row>
    <row r="41" spans="1:2" x14ac:dyDescent="0.25">
      <c r="A41" t="s">
        <v>108</v>
      </c>
      <c r="B41" t="s">
        <v>100</v>
      </c>
    </row>
    <row r="42" spans="1:2" x14ac:dyDescent="0.25">
      <c r="A42" t="s">
        <v>112</v>
      </c>
      <c r="B42" t="s">
        <v>101</v>
      </c>
    </row>
    <row r="43" spans="1:2" x14ac:dyDescent="0.25">
      <c r="A43" t="s">
        <v>115</v>
      </c>
      <c r="B43" t="s">
        <v>102</v>
      </c>
    </row>
    <row r="44" spans="1:2" x14ac:dyDescent="0.25">
      <c r="A44" t="s">
        <v>124</v>
      </c>
      <c r="B44" t="s">
        <v>103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parcelas</vt:lpstr>
      <vt:lpstr>plano_interno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Reis</dc:creator>
  <cp:lastModifiedBy>Albert Reis</cp:lastModifiedBy>
  <dcterms:created xsi:type="dcterms:W3CDTF">2026-02-18T16:57:05Z</dcterms:created>
  <dcterms:modified xsi:type="dcterms:W3CDTF">2026-03-19T18:25:01Z</dcterms:modified>
</cp:coreProperties>
</file>